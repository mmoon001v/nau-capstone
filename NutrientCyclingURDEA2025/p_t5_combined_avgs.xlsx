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nau0-my.sharepoint.com/personal/mm4977_nau_edu/Documents/URDEA/NutrientCyclingURDEA2025/"/>
    </mc:Choice>
  </mc:AlternateContent>
  <xr:revisionPtr revIDLastSave="126" documentId="11_D3DBFDC78F79A8D366075C52F37BD2723ACD160F" xr6:coauthVersionLast="47" xr6:coauthVersionMax="47" xr10:uidLastSave="{CC5A49CA-51CB-4E5A-8CA0-4555E08E3931}"/>
  <bookViews>
    <workbookView xWindow="2175" yWindow="-16320" windowWidth="29040" windowHeight="15720" activeTab="1" xr2:uid="{00000000-000D-0000-FFFF-FFFF00000000}"/>
  </bookViews>
  <sheets>
    <sheet name="Sheet20" sheetId="20" r:id="rId1"/>
    <sheet name="Sheet2" sheetId="21" r:id="rId2"/>
    <sheet name="Sheet1" sheetId="1" r:id="rId3"/>
  </sheet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K17" i="1" l="1"/>
  <c r="K16" i="1"/>
  <c r="K15" i="1"/>
  <c r="K14" i="1"/>
  <c r="K11" i="1"/>
  <c r="O11" i="1" s="1"/>
  <c r="K10" i="1"/>
  <c r="K9" i="1"/>
  <c r="K8" i="1"/>
  <c r="K5" i="1"/>
  <c r="K4" i="1"/>
  <c r="K3" i="1"/>
  <c r="K2" i="1"/>
  <c r="O9" i="1" l="1"/>
  <c r="O10" i="1"/>
  <c r="O8" i="1"/>
</calcChain>
</file>

<file path=xl/sharedStrings.xml><?xml version="1.0" encoding="utf-8"?>
<sst xmlns="http://schemas.openxmlformats.org/spreadsheetml/2006/main" count="212" uniqueCount="37">
  <si>
    <t>Bin_Number</t>
  </si>
  <si>
    <t>Inoculation</t>
  </si>
  <si>
    <t>Surface</t>
  </si>
  <si>
    <t>Date_Group</t>
  </si>
  <si>
    <t>mean_P</t>
  </si>
  <si>
    <t>sd_P</t>
  </si>
  <si>
    <t>n</t>
  </si>
  <si>
    <t>T5R1</t>
  </si>
  <si>
    <t>Inoculated</t>
  </si>
  <si>
    <t>Mound</t>
  </si>
  <si>
    <t>Week_10</t>
  </si>
  <si>
    <t>Week_5</t>
  </si>
  <si>
    <t>Trough</t>
  </si>
  <si>
    <t>Uncolonized</t>
  </si>
  <si>
    <t>T5R2</t>
  </si>
  <si>
    <t>T5R3</t>
  </si>
  <si>
    <t>Rep</t>
  </si>
  <si>
    <t>mound - trough</t>
  </si>
  <si>
    <t>Bare</t>
  </si>
  <si>
    <t>bare</t>
  </si>
  <si>
    <t>Sum of mound - trough</t>
  </si>
  <si>
    <t>Row Labels</t>
  </si>
  <si>
    <t>Grand Total</t>
  </si>
  <si>
    <t>Date</t>
  </si>
  <si>
    <t>avg mound-trough</t>
  </si>
  <si>
    <t>sum</t>
  </si>
  <si>
    <t>transpose ^</t>
  </si>
  <si>
    <t>Averages of mound-troughs</t>
  </si>
  <si>
    <t>transpose ^^</t>
  </si>
  <si>
    <t>Date_group</t>
  </si>
  <si>
    <t>Sum of Bare</t>
  </si>
  <si>
    <t>Inoculate</t>
  </si>
  <si>
    <t>Inoculated_sum</t>
  </si>
  <si>
    <t>Bare_sum</t>
  </si>
  <si>
    <t>avg_Inoculated</t>
  </si>
  <si>
    <t>make a pivot table</t>
  </si>
  <si>
    <t>avgs mound-trough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</si>
</sst>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</cellXfs>
  <cellStyles count="1">
    <cellStyle name="Normal" xfId="0" builtinId="0"/>
  </cellStyles>
  <dxfs count="4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[p_t5_combined_avgs.xlsx]Sheet2!PivotTable13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Phosphorus Concentration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Mound - Trough</a:t>
            </a:r>
          </a:p>
        </c:rich>
      </c:tx>
      <c:layout>
        <c:manualLayout>
          <c:xMode val="edge"/>
          <c:yMode val="edge"/>
          <c:x val="0.19753231260443757"/>
          <c:y val="3.8777491786639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pct40">
            <a:fgClr>
              <a:schemeClr val="tx1">
                <a:lumMod val="65000"/>
                <a:lumOff val="35000"/>
              </a:schemeClr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pct5">
            <a:fgClr>
              <a:schemeClr val="tx1">
                <a:lumMod val="65000"/>
                <a:lumOff val="35000"/>
              </a:schemeClr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70507630613681"/>
          <c:y val="0.18501584812851918"/>
          <c:w val="0.84165325333578955"/>
          <c:h val="0.72069114872141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Uncolonized</c:v>
                </c:pt>
              </c:strCache>
            </c:strRef>
          </c:tx>
          <c:spPr>
            <a:pattFill prst="pct5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2"/>
                <c:pt idx="0">
                  <c:v>-2.0444444444444412E-3</c:v>
                </c:pt>
                <c:pt idx="1">
                  <c:v>7.5833333333333362E-4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2-4298-AB62-FB42F1300071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pattFill prst="pct4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Sheet2!$C$5:$C$6</c:f>
              <c:numCache>
                <c:formatCode>General</c:formatCode>
                <c:ptCount val="2"/>
                <c:pt idx="0">
                  <c:v>-3.6277777777777801E-3</c:v>
                </c:pt>
                <c:pt idx="1">
                  <c:v>-1.1633333333333331E-2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2-4298-AB62-FB42F1300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276592"/>
        <c:axId val="2047260272"/>
      </c:barChart>
      <c:catAx>
        <c:axId val="204727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60272"/>
        <c:crosses val="autoZero"/>
        <c:auto val="1"/>
        <c:lblAlgn val="ctr"/>
        <c:lblOffset val="100"/>
        <c:noMultiLvlLbl val="0"/>
      </c:catAx>
      <c:valAx>
        <c:axId val="20472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27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856665219342681"/>
          <c:y val="0.76914376100394699"/>
          <c:w val="0.2891241643165926"/>
          <c:h val="0.14897403791734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[p_t5_combined_avgs.xlsx]Sheet1!PivotTable65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Phosphorus</a:t>
            </a:r>
          </a:p>
          <a:p>
            <a:pPr>
              <a:defRPr/>
            </a:pPr>
            <a:r>
              <a:rPr lang="en-US"/>
              <a:t>Sum of mound - trough by Date_Group and Inoculated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Sheet1!$U$21:$U$22</c:f>
              <c:strCache>
                <c:ptCount val="1"/>
                <c:pt idx="0">
                  <c:v>Bare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Sheet1!$T$23:$T$24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Sheet1!$U$23:$U$24</c:f>
              <c:numCache>
                <c:formatCode>General</c:formatCode>
                <c:ptCount val="2"/>
                <c:pt idx="0">
                  <c:v>-4.2500000000000003E-3</c:v>
                </c:pt>
                <c:pt idx="1">
                  <c:v>2.0000000000000018E-3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4D-4154-94BC-E99417493083}"/>
            </c:ext>
          </c:extLst>
        </c:ser>
        <c:ser>
          <c:idx val="1"/>
          <c:order val="1"/>
          <c:tx>
            <c:strRef>
              <c:f>Sheet1!$V$21:$V$22</c:f>
              <c:strCache>
                <c:ptCount val="1"/>
                <c:pt idx="0">
                  <c:v>Inoculated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Sheet1!$T$23:$T$24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Sheet1!$V$23:$V$24</c:f>
              <c:numCache>
                <c:formatCode>General</c:formatCode>
                <c:ptCount val="2"/>
                <c:pt idx="0">
                  <c:v>2.926666666666666E-2</c:v>
                </c:pt>
                <c:pt idx="1">
                  <c:v>6.6249999999999989E-3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4D-4154-94BC-E99417493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266751"/>
        <c:axId val="1536269247"/>
      </c:barChart>
      <c:catAx>
        <c:axId val="153626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9247"/>
        <c:crosses val="autoZero"/>
        <c:auto val="1"/>
        <c:lblAlgn val="ctr"/>
        <c:lblOffset val="100"/>
        <c:noMultiLvlLbl val="0"/>
      </c:catAx>
      <c:valAx>
        <c:axId val="15362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26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Sheet1!$N$15</c:f>
              <c:strCache>
                <c:ptCount val="1"/>
                <c:pt idx="0">
                  <c:v>Week_10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Sheet1!$O$14:$P$14</c:f>
              <c:strCache>
                <c:ptCount val="2"/>
                <c:pt idx="0">
                  <c:v>Inoculated_sum</c:v>
                </c:pt>
                <c:pt idx="1">
                  <c:v>Bare_sum</c:v>
                </c:pt>
              </c:strCache>
            </c:strRef>
          </c:cat>
          <c:val>
            <c:numRef>
              <c:f>Sheet1!$O$15:$P$15</c:f>
              <c:numCache>
                <c:formatCode>General</c:formatCode>
                <c:ptCount val="2"/>
                <c:pt idx="0">
                  <c:v>-1.0883333333333346E-2</c:v>
                </c:pt>
                <c:pt idx="1">
                  <c:v>-6.133333333333324E-3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3F-43D4-B547-DE3770C8B834}"/>
            </c:ext>
          </c:extLst>
        </c:ser>
        <c:ser>
          <c:idx val="1"/>
          <c:order val="1"/>
          <c:tx>
            <c:strRef>
              <c:f>Sheet1!$N$16</c:f>
              <c:strCache>
                <c:ptCount val="1"/>
                <c:pt idx="0">
                  <c:v>Week_5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Sheet1!$O$14:$P$14</c:f>
              <c:strCache>
                <c:ptCount val="2"/>
                <c:pt idx="0">
                  <c:v>Inoculated_sum</c:v>
                </c:pt>
                <c:pt idx="1">
                  <c:v>Bare_sum</c:v>
                </c:pt>
              </c:strCache>
            </c:strRef>
          </c:cat>
          <c:val>
            <c:numRef>
              <c:f>Sheet1!$O$16:$P$16</c:f>
              <c:numCache>
                <c:formatCode>General</c:formatCode>
                <c:ptCount val="2"/>
                <c:pt idx="0">
                  <c:v>-3.4899999999999994E-2</c:v>
                </c:pt>
                <c:pt idx="1">
                  <c:v>2.275000000000001E-3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3F-43D4-B547-DE3770C8B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864943"/>
        <c:axId val="349868271"/>
      </c:barChart>
      <c:catAx>
        <c:axId val="34986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68271"/>
        <c:crosses val="autoZero"/>
        <c:auto val="1"/>
        <c:lblAlgn val="ctr"/>
        <c:lblOffset val="100"/>
        <c:noMultiLvlLbl val="0"/>
      </c:catAx>
      <c:valAx>
        <c:axId val="34986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86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Averages</a:t>
            </a:r>
            <a:r>
              <a:rPr lang="en-US" baseline="0"/>
              <a:t> of Mound- Trough</a:t>
            </a:r>
          </a:p>
          <a:p>
            <a:pPr>
              <a:defRPr/>
            </a:pPr>
            <a:r>
              <a:rPr lang="en-US" baseline="0"/>
              <a:t>by Date_Group and Inoculated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Sheet1!$J$42</c:f>
              <c:strCache>
                <c:ptCount val="1"/>
                <c:pt idx="0">
                  <c:v>Week_10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Sheet1!$K$40:$L$41</c:f>
              <c:strCache>
                <c:ptCount val="2"/>
                <c:pt idx="0">
                  <c:v>Inoculated</c:v>
                </c:pt>
                <c:pt idx="1">
                  <c:v>Bare</c:v>
                </c:pt>
              </c:strCache>
            </c:strRef>
          </c:cat>
          <c:val>
            <c:numRef>
              <c:f>Sheet1!$K$42:$L$42</c:f>
              <c:numCache>
                <c:formatCode>General</c:formatCode>
                <c:ptCount val="2"/>
                <c:pt idx="0">
                  <c:v>-3.6277777777777818E-3</c:v>
                </c:pt>
                <c:pt idx="1">
                  <c:v>-6.5277777777777756E-3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4-405F-9D0B-EDE6E3FABDE4}"/>
            </c:ext>
          </c:extLst>
        </c:ser>
        <c:ser>
          <c:idx val="1"/>
          <c:order val="1"/>
          <c:tx>
            <c:strRef>
              <c:f>Sheet1!$J$43</c:f>
              <c:strCache>
                <c:ptCount val="1"/>
                <c:pt idx="0">
                  <c:v>Week_5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Sheet1!$K$40:$L$41</c:f>
              <c:strCache>
                <c:ptCount val="2"/>
                <c:pt idx="0">
                  <c:v>Inoculated</c:v>
                </c:pt>
                <c:pt idx="1">
                  <c:v>Bare</c:v>
                </c:pt>
              </c:strCache>
            </c:strRef>
          </c:cat>
          <c:val>
            <c:numRef>
              <c:f>Sheet1!$K$43:$L$43</c:f>
              <c:numCache>
                <c:formatCode>General</c:formatCode>
                <c:ptCount val="2"/>
                <c:pt idx="0">
                  <c:v>-1.1633333333333331E-2</c:v>
                </c:pt>
                <c:pt idx="1">
                  <c:v>6.4000000000000012E-3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4-405F-9D0B-EDE6E3FA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3280431"/>
        <c:axId val="573272111"/>
      </c:barChart>
      <c:catAx>
        <c:axId val="57328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72111"/>
        <c:crosses val="autoZero"/>
        <c:auto val="1"/>
        <c:lblAlgn val="ctr"/>
        <c:lblOffset val="100"/>
        <c:noMultiLvlLbl val="0"/>
      </c:catAx>
      <c:valAx>
        <c:axId val="57327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8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170792</xdr:rowOff>
    </xdr:from>
    <xdr:to>
      <xdr:col>8</xdr:col>
      <xdr:colOff>256190</xdr:colOff>
      <xdr:row>16</xdr:row>
      <xdr:rowOff>46815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BC19D9-3728-E707-F84F-D2A60AA44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25</xdr:row>
      <xdr:rowOff>0</xdr:rowOff>
    </xdr:from>
    <xdr:to>
      <xdr:col>25</xdr:col>
      <xdr:colOff>67660</xdr:colOff>
      <xdr:row>44</xdr:row>
      <xdr:rowOff>61913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D5D29-F8DA-49FF-9B34-83DD85A750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19051</xdr:colOff>
      <xdr:row>17</xdr:row>
      <xdr:rowOff>95250</xdr:rowOff>
    </xdr:from>
    <xdr:to>
      <xdr:col>15</xdr:col>
      <xdr:colOff>196851</xdr:colOff>
      <xdr:row>27</xdr:row>
      <xdr:rowOff>20636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DBB26E-CB7A-449C-8D9F-D64FD2E1D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4761</xdr:colOff>
      <xdr:row>43</xdr:row>
      <xdr:rowOff>147636</xdr:rowOff>
    </xdr:from>
    <xdr:to>
      <xdr:col>15</xdr:col>
      <xdr:colOff>628650</xdr:colOff>
      <xdr:row>63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4D1833-7C53-409F-B7C9-5C2E3C644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799188078701" createdVersion="7" refreshedVersion="7" minRefreshableVersion="3" recordCount="2" xr:uid="{2D89A6EF-5567-41B0-9BD5-C35D96D7BC96}">
  <cacheSource type="worksheet">
    <worksheetSource ref="J41:L43" sheet="Sheet1"/>
  </cacheSource>
  <cacheFields count="3">
    <cacheField name="Date_group" numFmtId="0">
      <sharedItems count="2">
        <s v="Week_10"/>
        <s v="Week_5"/>
      </sharedItems>
    </cacheField>
    <cacheField name="Inoculated" numFmtId="0">
      <sharedItems containsSemiMixedTypes="0" containsString="0" containsNumber="1" minValue="-1.1633333333333331E-2" maxValue="-3.6277777777777818E-3" count="2">
        <n v="-3.6277777777777818E-3"/>
        <n v="-1.1633333333333331E-2"/>
      </sharedItems>
    </cacheField>
    <cacheField name="Bare" numFmtId="0">
      <sharedItems containsSemiMixedTypes="0" containsString="0" containsNumber="1" minValue="-6.5277777777777756E-3" maxValue="6.4000000000000012E-3" count="2">
        <n v="-6.5277777777777756E-3"/>
        <n v="6.4000000000000012E-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805862847221" createdVersion="7" refreshedVersion="7" minRefreshableVersion="3" recordCount="4" xr:uid="{CB38F20E-19A6-47FC-A4C6-2401401A5628}">
  <cacheSource type="worksheet">
    <worksheetSource ref="I1:L5" sheet="Sheet1"/>
  </cacheSource>
  <cacheFields count="4">
    <cacheField name="Rep" numFmtId="0">
      <sharedItems containsSemiMixedTypes="0" containsString="0" containsNumber="1" containsInteger="1" minValue="1" maxValue="1"/>
    </cacheField>
    <cacheField name="Date_Group" numFmtId="0">
      <sharedItems count="2">
        <s v="Week_10"/>
        <s v="Week_5"/>
      </sharedItems>
    </cacheField>
    <cacheField name="mound - trough" numFmtId="0">
      <sharedItems containsSemiMixedTypes="0" containsString="0" containsNumber="1" minValue="-4.2500000000000003E-3" maxValue="2.926666666666666E-2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U" refreshedDate="46128.998693171299" createdVersion="8" refreshedVersion="8" minRefreshableVersion="3" recordCount="4" xr:uid="{AD88FC5E-B436-45CB-9303-B0E5BE2C263E}">
  <cacheSource type="worksheet">
    <worksheetSource ref="R1:T5" sheet="Sheet1"/>
  </cacheSource>
  <cacheFields count="3">
    <cacheField name="Date" numFmtId="0">
      <sharedItems count="2">
        <s v="Week_10"/>
        <s v="Week_5"/>
      </sharedItems>
    </cacheField>
    <cacheField name="avg mound-trough" numFmtId="0">
      <sharedItems containsSemiMixedTypes="0" containsString="0" containsNumber="1" minValue="-1.1633333333333331E-2" maxValue="7.5833333333333362E-4"/>
    </cacheField>
    <cacheField name="avg_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</r>
  <r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  <n v="2.926666666666666E-2"/>
    <x v="0"/>
  </r>
  <r>
    <n v="1"/>
    <x v="1"/>
    <n v="6.6249999999999989E-3"/>
    <x v="0"/>
  </r>
  <r>
    <n v="1"/>
    <x v="0"/>
    <n v="-4.2500000000000003E-3"/>
    <x v="1"/>
  </r>
  <r>
    <n v="1"/>
    <x v="1"/>
    <n v="2.0000000000000018E-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-3.6277777777777801E-3"/>
    <x v="0"/>
  </r>
  <r>
    <x v="1"/>
    <n v="-1.1633333333333331E-2"/>
    <x v="0"/>
  </r>
  <r>
    <x v="0"/>
    <n v="-2.0444444444444412E-3"/>
    <x v="1"/>
  </r>
  <r>
    <x v="1"/>
    <n v="7.5833333333333362E-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0AEB3-65D3-40CA-89DE-ECBB768729DE}" name="PivotTable16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re" fld="2" baseField="0" baseItem="0"/>
    <dataField name="Inoculat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28EF9-CC90-49C2-A74F-C18DF37D92A3}" name="PivotTable1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A3:C6" firstHeaderRow="1" firstDataRow="2" firstDataCol="1"/>
  <pivotFields count="3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Inoculation" axis="axisCol" compact="0" outline="0" showAll="0" defaultSubtotal="0">
      <items count="2">
        <item n="Uncolonized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avgs mound-trough" fld="1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8574B-7CDC-4790-A104-DD79BC2BF35C}" name="PivotTable65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4">
  <location ref="T21:V24" firstHeaderRow="1" firstDataRow="2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3"/>
  </colFields>
  <colItems count="2">
    <i>
      <x/>
    </i>
    <i>
      <x v="1"/>
    </i>
  </colItems>
  <dataFields count="1">
    <dataField name="Sum of mound - trough" fld="2" baseField="0" baseItem="0"/>
  </dataFields>
  <chartFormats count="5">
    <chartFormat chart="2" format="8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3B6600A-AC30-4554-8A77-0036B44803E7}" name="Table11" displayName="Table11" ref="N1:P5" totalsRowShown="0" headerRowDxfId="3">
  <autoFilter ref="N1:P5" xr:uid="{E3B6600A-AC30-4554-8A77-0036B44803E7}"/>
  <tableColumns count="3">
    <tableColumn id="1" xr3:uid="{53D174B7-DCBA-433F-A4DA-A8A1F7D7B893}" name="Date"/>
    <tableColumn id="2" xr3:uid="{7E8DAC64-D1AB-4AE1-8A2B-F582635CCDBF}" name="avg mound-trough"/>
    <tableColumn id="3" xr3:uid="{18D9DA14-1CF2-41F7-9FC7-A77FA22918FE}" name="avg_Inocula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C456-7EC8-4E49-AB08-D152405958BE}">
  <dimension ref="A3:D13"/>
  <sheetViews>
    <sheetView workbookViewId="0">
      <selection activeCell="C3" sqref="C3"/>
    </sheetView>
  </sheetViews>
  <sheetFormatPr defaultRowHeight="14.5" x14ac:dyDescent="0.35"/>
  <cols>
    <col min="1" max="1" width="13.1796875" bestFit="1" customWidth="1"/>
    <col min="2" max="2" width="12.7265625" bestFit="1" customWidth="1"/>
    <col min="3" max="3" width="17.26953125" bestFit="1" customWidth="1"/>
    <col min="4" max="4" width="12.7265625" bestFit="1" customWidth="1"/>
    <col min="5" max="5" width="25.7265625" bestFit="1" customWidth="1"/>
    <col min="6" max="6" width="11.26953125" bestFit="1" customWidth="1"/>
  </cols>
  <sheetData>
    <row r="3" spans="1:4" x14ac:dyDescent="0.35">
      <c r="A3" s="4" t="s">
        <v>21</v>
      </c>
      <c r="B3" t="s">
        <v>30</v>
      </c>
      <c r="C3" t="s">
        <v>31</v>
      </c>
    </row>
    <row r="4" spans="1:4" x14ac:dyDescent="0.35">
      <c r="A4" s="5" t="s">
        <v>10</v>
      </c>
      <c r="B4">
        <v>-6.5277777777777756E-3</v>
      </c>
      <c r="C4">
        <v>-3.6277777777777818E-3</v>
      </c>
    </row>
    <row r="5" spans="1:4" x14ac:dyDescent="0.35">
      <c r="A5" s="5" t="s">
        <v>11</v>
      </c>
      <c r="B5">
        <v>6.4000000000000012E-3</v>
      </c>
      <c r="C5">
        <v>-1.1633333333333331E-2</v>
      </c>
    </row>
    <row r="6" spans="1:4" x14ac:dyDescent="0.35">
      <c r="A6" s="5" t="s">
        <v>22</v>
      </c>
      <c r="B6">
        <v>-1.277777777777744E-4</v>
      </c>
      <c r="C6">
        <v>-1.5261111111111112E-2</v>
      </c>
    </row>
    <row r="10" spans="1:4" x14ac:dyDescent="0.35">
      <c r="B10" t="s">
        <v>27</v>
      </c>
    </row>
    <row r="11" spans="1:4" x14ac:dyDescent="0.35">
      <c r="B11" t="s">
        <v>29</v>
      </c>
      <c r="C11" t="s">
        <v>8</v>
      </c>
      <c r="D11" t="s">
        <v>18</v>
      </c>
    </row>
    <row r="12" spans="1:4" x14ac:dyDescent="0.35">
      <c r="B12" t="s">
        <v>10</v>
      </c>
      <c r="C12">
        <v>-3.6277777777777818E-3</v>
      </c>
      <c r="D12">
        <v>-6.5277777777777756E-3</v>
      </c>
    </row>
    <row r="13" spans="1:4" x14ac:dyDescent="0.35">
      <c r="B13" t="s">
        <v>11</v>
      </c>
      <c r="C13">
        <v>-1.1633333333333331E-2</v>
      </c>
      <c r="D13">
        <v>6.4000000000000012E-3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A0F8-6901-4A3A-A1C4-1812D4238F43}">
  <dimension ref="A3:C6"/>
  <sheetViews>
    <sheetView tabSelected="1" zoomScale="145" zoomScaleNormal="145" workbookViewId="0">
      <selection activeCell="K6" sqref="K6"/>
    </sheetView>
  </sheetViews>
  <sheetFormatPr defaultRowHeight="14.5" x14ac:dyDescent="0.35"/>
  <cols>
    <col min="1" max="1" width="17.36328125" bestFit="1" customWidth="1"/>
    <col min="2" max="3" width="12.81640625" bestFit="1" customWidth="1"/>
  </cols>
  <sheetData>
    <row r="3" spans="1:3" x14ac:dyDescent="0.35">
      <c r="A3" s="4" t="s">
        <v>36</v>
      </c>
      <c r="B3" s="4" t="s">
        <v>1</v>
      </c>
    </row>
    <row r="4" spans="1:3" x14ac:dyDescent="0.35">
      <c r="A4" s="4" t="s">
        <v>23</v>
      </c>
      <c r="B4" t="s">
        <v>13</v>
      </c>
      <c r="C4" t="s">
        <v>8</v>
      </c>
    </row>
    <row r="5" spans="1:3" x14ac:dyDescent="0.35">
      <c r="A5" t="s">
        <v>10</v>
      </c>
      <c r="B5">
        <v>-2.0444444444444412E-3</v>
      </c>
      <c r="C5">
        <v>-3.6277777777777801E-3</v>
      </c>
    </row>
    <row r="6" spans="1:3" x14ac:dyDescent="0.35">
      <c r="A6" t="s">
        <v>11</v>
      </c>
      <c r="B6">
        <v>7.5833333333333362E-4</v>
      </c>
      <c r="C6">
        <v>-1.1633333333333331E-2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topLeftCell="J1" zoomScale="130" zoomScaleNormal="130" workbookViewId="0">
      <selection activeCell="S4" sqref="S4"/>
    </sheetView>
  </sheetViews>
  <sheetFormatPr defaultRowHeight="14.5" x14ac:dyDescent="0.35"/>
  <cols>
    <col min="9" max="9" width="4.453125" bestFit="1" customWidth="1"/>
    <col min="10" max="10" width="14" bestFit="1" customWidth="1"/>
    <col min="11" max="11" width="12.7265625" bestFit="1" customWidth="1"/>
    <col min="12" max="12" width="10.453125" bestFit="1" customWidth="1"/>
    <col min="15" max="15" width="19.453125" customWidth="1"/>
    <col min="16" max="16" width="12.54296875" customWidth="1"/>
    <col min="17" max="17" width="17.1796875" bestFit="1" customWidth="1"/>
    <col min="18" max="18" width="12.7265625" bestFit="1" customWidth="1"/>
    <col min="19" max="19" width="10.81640625" customWidth="1"/>
    <col min="20" max="20" width="21.7265625" bestFit="1" customWidth="1"/>
    <col min="21" max="21" width="12.7265625" bestFit="1" customWidth="1"/>
    <col min="22" max="22" width="12" bestFit="1" customWidth="1"/>
  </cols>
  <sheetData>
    <row r="1" spans="1:20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16</v>
      </c>
      <c r="J1" s="1" t="s">
        <v>3</v>
      </c>
      <c r="K1" s="1" t="s">
        <v>17</v>
      </c>
      <c r="L1" s="1" t="s">
        <v>8</v>
      </c>
      <c r="N1" s="1" t="s">
        <v>23</v>
      </c>
      <c r="O1" s="1" t="s">
        <v>24</v>
      </c>
      <c r="P1" s="1" t="s">
        <v>34</v>
      </c>
      <c r="Q1"/>
      <c r="R1" t="s">
        <v>23</v>
      </c>
      <c r="S1" s="1" t="s">
        <v>24</v>
      </c>
      <c r="T1" s="1" t="s">
        <v>34</v>
      </c>
    </row>
    <row r="2" spans="1:20" x14ac:dyDescent="0.35">
      <c r="A2" t="s">
        <v>7</v>
      </c>
      <c r="B2" t="s">
        <v>8</v>
      </c>
      <c r="C2" t="s">
        <v>9</v>
      </c>
      <c r="D2" t="s">
        <v>10</v>
      </c>
      <c r="E2">
        <v>4.765833333333333E-2</v>
      </c>
      <c r="F2">
        <v>4.537268512613676E-3</v>
      </c>
      <c r="G2">
        <v>2</v>
      </c>
      <c r="I2">
        <v>1</v>
      </c>
      <c r="J2" s="2" t="s">
        <v>10</v>
      </c>
      <c r="K2" s="2">
        <f>E2-E4</f>
        <v>2.926666666666666E-2</v>
      </c>
      <c r="L2" s="2" t="s">
        <v>8</v>
      </c>
      <c r="N2" t="s">
        <v>10</v>
      </c>
      <c r="O2">
        <f>AVERAGE(K2,K8,K14)</f>
        <v>-3.6277777777777818E-3</v>
      </c>
      <c r="P2" t="s">
        <v>8</v>
      </c>
      <c r="R2" t="s">
        <v>10</v>
      </c>
      <c r="S2">
        <v>-3.6277777777777801E-3</v>
      </c>
      <c r="T2" t="s">
        <v>8</v>
      </c>
    </row>
    <row r="3" spans="1:20" x14ac:dyDescent="0.35">
      <c r="A3" t="s">
        <v>7</v>
      </c>
      <c r="B3" t="s">
        <v>8</v>
      </c>
      <c r="C3" t="s">
        <v>9</v>
      </c>
      <c r="D3" t="s">
        <v>11</v>
      </c>
      <c r="E3">
        <v>3.1375E-2</v>
      </c>
      <c r="F3">
        <v>4.1365746699413017E-3</v>
      </c>
      <c r="G3">
        <v>2</v>
      </c>
      <c r="I3">
        <v>1</v>
      </c>
      <c r="J3" s="2" t="s">
        <v>11</v>
      </c>
      <c r="K3" s="2">
        <f>E3-E5</f>
        <v>6.6249999999999989E-3</v>
      </c>
      <c r="L3" s="2" t="s">
        <v>8</v>
      </c>
      <c r="N3" t="s">
        <v>11</v>
      </c>
      <c r="O3">
        <f>AVERAGE(K3,K9,K15)</f>
        <v>-1.1633333333333331E-2</v>
      </c>
      <c r="P3" t="s">
        <v>8</v>
      </c>
      <c r="R3" t="s">
        <v>11</v>
      </c>
      <c r="S3">
        <v>-1.1633333333333331E-2</v>
      </c>
      <c r="T3" t="s">
        <v>8</v>
      </c>
    </row>
    <row r="4" spans="1:20" x14ac:dyDescent="0.35">
      <c r="A4" t="s">
        <v>7</v>
      </c>
      <c r="B4" t="s">
        <v>8</v>
      </c>
      <c r="C4" t="s">
        <v>12</v>
      </c>
      <c r="D4" t="s">
        <v>10</v>
      </c>
      <c r="E4">
        <v>1.8391666666666671E-2</v>
      </c>
      <c r="F4">
        <v>4.4665578344950238E-3</v>
      </c>
      <c r="G4">
        <v>2</v>
      </c>
      <c r="I4">
        <v>1</v>
      </c>
      <c r="J4" s="2" t="s">
        <v>10</v>
      </c>
      <c r="K4" s="2">
        <f>E6-E8</f>
        <v>-4.2500000000000003E-3</v>
      </c>
      <c r="L4" s="2" t="s">
        <v>18</v>
      </c>
      <c r="N4" t="s">
        <v>10</v>
      </c>
      <c r="O4">
        <f>AVERAGE(K4,K10,K16)</f>
        <v>-2.0444444444444412E-3</v>
      </c>
      <c r="P4" t="s">
        <v>18</v>
      </c>
      <c r="R4" t="s">
        <v>10</v>
      </c>
      <c r="S4">
        <v>-2.0444444444444412E-3</v>
      </c>
      <c r="T4" t="s">
        <v>18</v>
      </c>
    </row>
    <row r="5" spans="1:20" x14ac:dyDescent="0.35">
      <c r="A5" t="s">
        <v>7</v>
      </c>
      <c r="B5" t="s">
        <v>8</v>
      </c>
      <c r="C5" t="s">
        <v>12</v>
      </c>
      <c r="D5" t="s">
        <v>11</v>
      </c>
      <c r="E5">
        <v>2.4750000000000001E-2</v>
      </c>
      <c r="F5">
        <v>1.767766952966368E-3</v>
      </c>
      <c r="G5">
        <v>2</v>
      </c>
      <c r="I5">
        <v>1</v>
      </c>
      <c r="J5" s="2" t="s">
        <v>11</v>
      </c>
      <c r="K5" s="2">
        <f>E7-E9</f>
        <v>2.0000000000000018E-3</v>
      </c>
      <c r="L5" s="2" t="s">
        <v>18</v>
      </c>
      <c r="N5" s="6" t="s">
        <v>11</v>
      </c>
      <c r="O5" s="7">
        <f>AVERAGE(K5,K17,K11)</f>
        <v>7.5833333333333362E-4</v>
      </c>
      <c r="P5" s="8" t="s">
        <v>18</v>
      </c>
      <c r="R5" t="s">
        <v>11</v>
      </c>
      <c r="S5">
        <v>7.5833333333333362E-4</v>
      </c>
      <c r="T5" t="s">
        <v>18</v>
      </c>
    </row>
    <row r="6" spans="1:20" x14ac:dyDescent="0.35">
      <c r="A6" t="s">
        <v>7</v>
      </c>
      <c r="B6" t="s">
        <v>13</v>
      </c>
      <c r="C6" t="s">
        <v>9</v>
      </c>
      <c r="D6" t="s">
        <v>10</v>
      </c>
      <c r="E6">
        <v>2.445E-2</v>
      </c>
      <c r="F6">
        <v>6.5053823869162374E-3</v>
      </c>
      <c r="G6">
        <v>2</v>
      </c>
    </row>
    <row r="7" spans="1:20" x14ac:dyDescent="0.35">
      <c r="A7" t="s">
        <v>7</v>
      </c>
      <c r="B7" t="s">
        <v>13</v>
      </c>
      <c r="C7" t="s">
        <v>9</v>
      </c>
      <c r="D7" t="s">
        <v>11</v>
      </c>
      <c r="E7">
        <v>2.5350000000000001E-2</v>
      </c>
      <c r="F7">
        <v>2.4041630560342618E-3</v>
      </c>
      <c r="G7">
        <v>2</v>
      </c>
      <c r="N7" t="s">
        <v>25</v>
      </c>
    </row>
    <row r="8" spans="1:20" x14ac:dyDescent="0.35">
      <c r="A8" t="s">
        <v>7</v>
      </c>
      <c r="B8" t="s">
        <v>13</v>
      </c>
      <c r="C8" t="s">
        <v>12</v>
      </c>
      <c r="D8" t="s">
        <v>10</v>
      </c>
      <c r="E8">
        <v>2.87E-2</v>
      </c>
      <c r="F8">
        <v>4.5254833995939008E-3</v>
      </c>
      <c r="G8">
        <v>2</v>
      </c>
      <c r="I8">
        <v>2</v>
      </c>
      <c r="J8" s="3" t="s">
        <v>10</v>
      </c>
      <c r="K8" s="3">
        <f>E10-E12</f>
        <v>-9.900000000000013E-3</v>
      </c>
      <c r="L8" s="3" t="s">
        <v>8</v>
      </c>
      <c r="N8" t="s">
        <v>10</v>
      </c>
      <c r="O8">
        <f>SUM(K2,K8,K14)</f>
        <v>-1.0883333333333346E-2</v>
      </c>
      <c r="P8" t="s">
        <v>8</v>
      </c>
    </row>
    <row r="9" spans="1:20" x14ac:dyDescent="0.35">
      <c r="A9" t="s">
        <v>7</v>
      </c>
      <c r="B9" t="s">
        <v>13</v>
      </c>
      <c r="C9" t="s">
        <v>12</v>
      </c>
      <c r="D9" t="s">
        <v>11</v>
      </c>
      <c r="E9">
        <v>2.3349999999999999E-2</v>
      </c>
      <c r="F9">
        <v>2.6870057685088821E-3</v>
      </c>
      <c r="G9">
        <v>2</v>
      </c>
      <c r="I9">
        <v>2</v>
      </c>
      <c r="J9" s="3" t="s">
        <v>11</v>
      </c>
      <c r="K9" s="3">
        <f>E11-E13</f>
        <v>-1.2999999999999956E-3</v>
      </c>
      <c r="L9" s="3" t="s">
        <v>8</v>
      </c>
      <c r="N9" t="s">
        <v>11</v>
      </c>
      <c r="O9">
        <f>SUM(K3,K9,K15)</f>
        <v>-3.4899999999999994E-2</v>
      </c>
      <c r="P9" t="s">
        <v>8</v>
      </c>
    </row>
    <row r="10" spans="1:20" x14ac:dyDescent="0.35">
      <c r="A10" t="s">
        <v>14</v>
      </c>
      <c r="B10" t="s">
        <v>8</v>
      </c>
      <c r="C10" t="s">
        <v>9</v>
      </c>
      <c r="D10" t="s">
        <v>10</v>
      </c>
      <c r="E10">
        <v>3.0124999999999999E-2</v>
      </c>
      <c r="F10">
        <v>7.1771338290434541E-3</v>
      </c>
      <c r="G10">
        <v>2</v>
      </c>
      <c r="I10">
        <v>2</v>
      </c>
      <c r="J10" s="3" t="s">
        <v>10</v>
      </c>
      <c r="K10" s="3">
        <f>E14-E16</f>
        <v>-4.8083333333333277E-3</v>
      </c>
      <c r="L10" s="3" t="s">
        <v>19</v>
      </c>
      <c r="N10" t="s">
        <v>10</v>
      </c>
      <c r="O10">
        <f>SUM(K4,K10,K16)</f>
        <v>-6.133333333333324E-3</v>
      </c>
      <c r="P10" t="s">
        <v>18</v>
      </c>
    </row>
    <row r="11" spans="1:20" x14ac:dyDescent="0.35">
      <c r="A11" t="s">
        <v>14</v>
      </c>
      <c r="B11" t="s">
        <v>8</v>
      </c>
      <c r="C11" t="s">
        <v>9</v>
      </c>
      <c r="D11" t="s">
        <v>11</v>
      </c>
      <c r="E11">
        <v>3.0925000000000001E-2</v>
      </c>
      <c r="F11">
        <v>4.1365746699413017E-3</v>
      </c>
      <c r="G11">
        <v>2</v>
      </c>
      <c r="I11">
        <v>2</v>
      </c>
      <c r="J11" s="3" t="s">
        <v>11</v>
      </c>
      <c r="K11" s="3">
        <f>E15-E17</f>
        <v>1.0800000000000001E-2</v>
      </c>
      <c r="L11" s="3" t="s">
        <v>19</v>
      </c>
      <c r="N11" t="s">
        <v>11</v>
      </c>
      <c r="O11">
        <f>SUM(K5,K11,K17)</f>
        <v>2.275000000000001E-3</v>
      </c>
      <c r="P11" t="s">
        <v>18</v>
      </c>
    </row>
    <row r="12" spans="1:20" x14ac:dyDescent="0.35">
      <c r="A12" t="s">
        <v>14</v>
      </c>
      <c r="B12" t="s">
        <v>8</v>
      </c>
      <c r="C12" t="s">
        <v>12</v>
      </c>
      <c r="D12" t="s">
        <v>10</v>
      </c>
      <c r="E12">
        <v>4.0025000000000012E-2</v>
      </c>
      <c r="F12">
        <v>2.124855877465575E-2</v>
      </c>
      <c r="G12">
        <v>2</v>
      </c>
    </row>
    <row r="13" spans="1:20" x14ac:dyDescent="0.35">
      <c r="A13" t="s">
        <v>14</v>
      </c>
      <c r="B13" t="s">
        <v>8</v>
      </c>
      <c r="C13" t="s">
        <v>12</v>
      </c>
      <c r="D13" t="s">
        <v>11</v>
      </c>
      <c r="E13">
        <v>3.2224999999999997E-2</v>
      </c>
      <c r="F13">
        <v>1.1066221125569471E-2</v>
      </c>
      <c r="G13">
        <v>2</v>
      </c>
      <c r="N13" t="s">
        <v>26</v>
      </c>
    </row>
    <row r="14" spans="1:20" x14ac:dyDescent="0.35">
      <c r="A14" t="s">
        <v>14</v>
      </c>
      <c r="B14" t="s">
        <v>13</v>
      </c>
      <c r="C14" t="s">
        <v>9</v>
      </c>
      <c r="D14" t="s">
        <v>10</v>
      </c>
      <c r="E14">
        <v>1.5866666666666671E-2</v>
      </c>
      <c r="F14">
        <v>1.319932658214891E-3</v>
      </c>
      <c r="G14">
        <v>2</v>
      </c>
      <c r="I14">
        <v>3</v>
      </c>
      <c r="J14" s="2" t="s">
        <v>10</v>
      </c>
      <c r="K14" s="2">
        <f>E18-E20</f>
        <v>-3.0249999999999992E-2</v>
      </c>
      <c r="L14" s="2" t="s">
        <v>8</v>
      </c>
      <c r="O14" t="s">
        <v>32</v>
      </c>
      <c r="P14" t="s">
        <v>33</v>
      </c>
    </row>
    <row r="15" spans="1:20" x14ac:dyDescent="0.35">
      <c r="A15" t="s">
        <v>14</v>
      </c>
      <c r="B15" t="s">
        <v>13</v>
      </c>
      <c r="C15" t="s">
        <v>9</v>
      </c>
      <c r="D15" t="s">
        <v>11</v>
      </c>
      <c r="E15">
        <v>2.955E-2</v>
      </c>
      <c r="F15">
        <v>1.209152595828996E-2</v>
      </c>
      <c r="G15">
        <v>2</v>
      </c>
      <c r="I15">
        <v>3</v>
      </c>
      <c r="J15" s="2" t="s">
        <v>11</v>
      </c>
      <c r="K15" s="2">
        <f>E19-E21</f>
        <v>-4.0224999999999997E-2</v>
      </c>
      <c r="L15" s="2" t="s">
        <v>8</v>
      </c>
      <c r="N15" t="s">
        <v>10</v>
      </c>
      <c r="O15">
        <v>-1.0883333333333346E-2</v>
      </c>
      <c r="P15">
        <v>-6.133333333333324E-3</v>
      </c>
    </row>
    <row r="16" spans="1:20" x14ac:dyDescent="0.35">
      <c r="A16" t="s">
        <v>14</v>
      </c>
      <c r="B16" t="s">
        <v>13</v>
      </c>
      <c r="C16" t="s">
        <v>12</v>
      </c>
      <c r="D16" t="s">
        <v>10</v>
      </c>
      <c r="E16">
        <v>2.0674999999999999E-2</v>
      </c>
      <c r="F16">
        <v>1.096015510839148E-3</v>
      </c>
      <c r="G16">
        <v>2</v>
      </c>
      <c r="I16">
        <v>3</v>
      </c>
      <c r="J16" s="2" t="s">
        <v>10</v>
      </c>
      <c r="K16" s="2">
        <f>E22-E24</f>
        <v>2.925000000000004E-3</v>
      </c>
      <c r="L16" s="2" t="s">
        <v>18</v>
      </c>
      <c r="N16" t="s">
        <v>11</v>
      </c>
      <c r="O16">
        <v>-3.4899999999999994E-2</v>
      </c>
      <c r="P16">
        <v>2.275000000000001E-3</v>
      </c>
    </row>
    <row r="17" spans="1:22" x14ac:dyDescent="0.35">
      <c r="A17" t="s">
        <v>14</v>
      </c>
      <c r="B17" t="s">
        <v>13</v>
      </c>
      <c r="C17" t="s">
        <v>12</v>
      </c>
      <c r="D17" t="s">
        <v>11</v>
      </c>
      <c r="E17">
        <v>1.8749999999999999E-2</v>
      </c>
      <c r="F17">
        <v>2.262741699796953E-3</v>
      </c>
      <c r="G17">
        <v>2</v>
      </c>
      <c r="I17">
        <v>3</v>
      </c>
      <c r="J17" s="2" t="s">
        <v>11</v>
      </c>
      <c r="K17" s="2">
        <f>E23-E25</f>
        <v>-1.0525000000000001E-2</v>
      </c>
      <c r="L17" s="2" t="s">
        <v>18</v>
      </c>
    </row>
    <row r="18" spans="1:22" x14ac:dyDescent="0.35">
      <c r="A18" t="s">
        <v>15</v>
      </c>
      <c r="B18" t="s">
        <v>8</v>
      </c>
      <c r="C18" t="s">
        <v>9</v>
      </c>
      <c r="D18" t="s">
        <v>10</v>
      </c>
      <c r="E18">
        <v>4.0250000000000001E-2</v>
      </c>
      <c r="F18">
        <v>1.216223663640862E-2</v>
      </c>
      <c r="G18">
        <v>2</v>
      </c>
    </row>
    <row r="19" spans="1:22" x14ac:dyDescent="0.35">
      <c r="A19" t="s">
        <v>15</v>
      </c>
      <c r="B19" t="s">
        <v>8</v>
      </c>
      <c r="C19" t="s">
        <v>9</v>
      </c>
      <c r="D19" t="s">
        <v>11</v>
      </c>
      <c r="E19">
        <v>8.3750000000000005E-3</v>
      </c>
      <c r="F19">
        <v>9.3691648507217545E-3</v>
      </c>
      <c r="G19">
        <v>2</v>
      </c>
    </row>
    <row r="20" spans="1:22" x14ac:dyDescent="0.35">
      <c r="A20" t="s">
        <v>15</v>
      </c>
      <c r="B20" t="s">
        <v>8</v>
      </c>
      <c r="C20" t="s">
        <v>12</v>
      </c>
      <c r="D20" t="s">
        <v>10</v>
      </c>
      <c r="E20">
        <v>7.0499999999999993E-2</v>
      </c>
      <c r="F20">
        <v>7.990306627407991E-3</v>
      </c>
      <c r="G20">
        <v>2</v>
      </c>
    </row>
    <row r="21" spans="1:22" x14ac:dyDescent="0.35">
      <c r="A21" t="s">
        <v>15</v>
      </c>
      <c r="B21" t="s">
        <v>8</v>
      </c>
      <c r="C21" t="s">
        <v>12</v>
      </c>
      <c r="D21" t="s">
        <v>11</v>
      </c>
      <c r="E21">
        <v>4.8599999999999997E-2</v>
      </c>
      <c r="F21">
        <v>4.8790367901871759E-3</v>
      </c>
      <c r="G21">
        <v>2</v>
      </c>
      <c r="T21" s="4" t="s">
        <v>20</v>
      </c>
      <c r="U21" s="4" t="s">
        <v>8</v>
      </c>
    </row>
    <row r="22" spans="1:22" x14ac:dyDescent="0.35">
      <c r="A22" t="s">
        <v>15</v>
      </c>
      <c r="B22" t="s">
        <v>13</v>
      </c>
      <c r="C22" t="s">
        <v>9</v>
      </c>
      <c r="D22" t="s">
        <v>10</v>
      </c>
      <c r="E22">
        <v>3.3050000000000003E-2</v>
      </c>
      <c r="F22">
        <v>7.4246212024587496E-3</v>
      </c>
      <c r="G22">
        <v>2</v>
      </c>
      <c r="T22" s="4" t="s">
        <v>3</v>
      </c>
      <c r="U22" t="s">
        <v>18</v>
      </c>
      <c r="V22" t="s">
        <v>8</v>
      </c>
    </row>
    <row r="23" spans="1:22" x14ac:dyDescent="0.35">
      <c r="A23" t="s">
        <v>15</v>
      </c>
      <c r="B23" t="s">
        <v>13</v>
      </c>
      <c r="C23" t="s">
        <v>9</v>
      </c>
      <c r="D23" t="s">
        <v>11</v>
      </c>
      <c r="E23">
        <v>1.01E-2</v>
      </c>
      <c r="F23">
        <v>7.6367532368147133E-3</v>
      </c>
      <c r="G23">
        <v>2</v>
      </c>
      <c r="T23" t="s">
        <v>10</v>
      </c>
      <c r="U23">
        <v>-4.2500000000000003E-3</v>
      </c>
      <c r="V23">
        <v>2.926666666666666E-2</v>
      </c>
    </row>
    <row r="24" spans="1:22" x14ac:dyDescent="0.35">
      <c r="A24" t="s">
        <v>15</v>
      </c>
      <c r="B24" t="s">
        <v>13</v>
      </c>
      <c r="C24" t="s">
        <v>12</v>
      </c>
      <c r="D24" t="s">
        <v>10</v>
      </c>
      <c r="E24">
        <v>3.0124999999999999E-2</v>
      </c>
      <c r="F24">
        <v>1.311683079101046E-2</v>
      </c>
      <c r="G24">
        <v>2</v>
      </c>
      <c r="T24" t="s">
        <v>11</v>
      </c>
      <c r="U24">
        <v>2.0000000000000018E-3</v>
      </c>
      <c r="V24">
        <v>6.6249999999999989E-3</v>
      </c>
    </row>
    <row r="25" spans="1:22" x14ac:dyDescent="0.35">
      <c r="A25" t="s">
        <v>15</v>
      </c>
      <c r="B25" t="s">
        <v>13</v>
      </c>
      <c r="C25" t="s">
        <v>12</v>
      </c>
      <c r="D25" t="s">
        <v>11</v>
      </c>
      <c r="E25">
        <v>2.0625000000000001E-2</v>
      </c>
      <c r="F25">
        <v>6.7175144212721976E-4</v>
      </c>
      <c r="G25">
        <v>2</v>
      </c>
    </row>
    <row r="32" spans="1:22" x14ac:dyDescent="0.35">
      <c r="J32" t="s">
        <v>27</v>
      </c>
    </row>
    <row r="33" spans="7:12" x14ac:dyDescent="0.35">
      <c r="J33" t="s">
        <v>23</v>
      </c>
      <c r="L33" t="s">
        <v>8</v>
      </c>
    </row>
    <row r="34" spans="7:12" x14ac:dyDescent="0.35">
      <c r="J34" t="s">
        <v>10</v>
      </c>
      <c r="K34">
        <v>-3.6277777777777801E-3</v>
      </c>
      <c r="L34" t="s">
        <v>8</v>
      </c>
    </row>
    <row r="35" spans="7:12" x14ac:dyDescent="0.35">
      <c r="J35" t="s">
        <v>11</v>
      </c>
      <c r="K35">
        <v>6.4000000000000012E-3</v>
      </c>
      <c r="L35" t="s">
        <v>18</v>
      </c>
    </row>
    <row r="36" spans="7:12" x14ac:dyDescent="0.35">
      <c r="J36" t="s">
        <v>10</v>
      </c>
      <c r="K36">
        <v>-6.5277777777777756E-3</v>
      </c>
      <c r="L36" t="s">
        <v>18</v>
      </c>
    </row>
    <row r="37" spans="7:12" x14ac:dyDescent="0.35">
      <c r="J37" t="s">
        <v>11</v>
      </c>
      <c r="K37">
        <v>-1.1633333333333331E-2</v>
      </c>
      <c r="L37" t="s">
        <v>8</v>
      </c>
    </row>
    <row r="39" spans="7:12" x14ac:dyDescent="0.35">
      <c r="J39" t="s">
        <v>28</v>
      </c>
    </row>
    <row r="40" spans="7:12" x14ac:dyDescent="0.35">
      <c r="G40" t="s">
        <v>35</v>
      </c>
      <c r="J40" t="s">
        <v>27</v>
      </c>
    </row>
    <row r="41" spans="7:12" x14ac:dyDescent="0.35">
      <c r="J41" t="s">
        <v>29</v>
      </c>
      <c r="K41" t="s">
        <v>8</v>
      </c>
      <c r="L41" t="s">
        <v>18</v>
      </c>
    </row>
    <row r="42" spans="7:12" x14ac:dyDescent="0.35">
      <c r="J42" t="s">
        <v>10</v>
      </c>
      <c r="K42">
        <v>-3.6277777777777818E-3</v>
      </c>
      <c r="L42">
        <v>-6.5277777777777756E-3</v>
      </c>
    </row>
    <row r="43" spans="7:12" x14ac:dyDescent="0.35">
      <c r="J43" t="s">
        <v>11</v>
      </c>
      <c r="K43">
        <v>-1.1633333333333331E-2</v>
      </c>
      <c r="L43">
        <v>6.4000000000000012E-3</v>
      </c>
    </row>
  </sheetData>
  <sortState xmlns:xlrd2="http://schemas.microsoft.com/office/spreadsheetml/2017/richdata2" ref="N9:P10">
    <sortCondition descending="1" ref="N9:N10"/>
  </sortState>
  <phoneticPr fontId="2" type="noConversion"/>
  <conditionalFormatting sqref="L2:L5 L8:L11">
    <cfRule type="cellIs" dxfId="2" priority="6" operator="equal">
      <formula>"Mound"</formula>
    </cfRule>
  </conditionalFormatting>
  <conditionalFormatting sqref="L14:L17">
    <cfRule type="cellIs" dxfId="1" priority="5" operator="equal">
      <formula>"Mound"</formula>
    </cfRule>
  </conditionalFormatting>
  <conditionalFormatting sqref="X21:X24">
    <cfRule type="cellIs" dxfId="0" priority="1" operator="equal">
      <formula>"Mound"</formula>
    </cfRule>
  </conditionalFormatting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D6223A-B16D-4710-8DE3-F5D5A4DFD4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Sheet20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Myleen Maldonado</cp:lastModifiedBy>
  <dcterms:created xsi:type="dcterms:W3CDTF">2026-04-16T23:39:46Z</dcterms:created>
  <dcterms:modified xsi:type="dcterms:W3CDTF">2026-04-17T07:19:53Z</dcterms:modified>
</cp:coreProperties>
</file>