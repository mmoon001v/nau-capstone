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u0-my.sharepoint.com/personal/mm4977_nau_edu/Documents/URDEA/NutrientCyclingURDEA2025/"/>
    </mc:Choice>
  </mc:AlternateContent>
  <xr:revisionPtr revIDLastSave="136" documentId="11_B359BDD98F79A8D366075C52F37BD2723AC149C1" xr6:coauthVersionLast="47" xr6:coauthVersionMax="47" xr10:uidLastSave="{52DCB3B0-8BD2-4B9B-A4A3-0BC3C9CA4642}"/>
  <bookViews>
    <workbookView xWindow="4995" yWindow="2580" windowWidth="21600" windowHeight="11295" activeTab="1" xr2:uid="{00000000-000D-0000-FFFF-FFFF00000000}"/>
  </bookViews>
  <sheets>
    <sheet name="rep1_og" sheetId="3" r:id="rId1"/>
    <sheet name="Sheet4" sheetId="4" r:id="rId2"/>
    <sheet name="Sheet1" sheetId="1" r:id="rId3"/>
  </sheets>
  <calcPr calcId="191029"/>
  <pivotCaches>
    <pivotCache cacheId="8" r:id="rId4"/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" i="1" l="1"/>
  <c r="P5" i="1"/>
  <c r="P4" i="1"/>
  <c r="P3" i="1"/>
  <c r="P2" i="1"/>
  <c r="Q5" i="1"/>
  <c r="Q4" i="1"/>
  <c r="O5" i="1"/>
  <c r="O4" i="1"/>
  <c r="Q3" i="1"/>
  <c r="Q2" i="1"/>
  <c r="O3" i="1"/>
  <c r="O2" i="1"/>
  <c r="P1" i="1"/>
  <c r="O1" i="1"/>
  <c r="K3" i="1"/>
  <c r="K2" i="1"/>
  <c r="K17" i="1"/>
  <c r="K16" i="1"/>
  <c r="K15" i="1"/>
  <c r="K14" i="1"/>
  <c r="K11" i="1"/>
  <c r="K10" i="1"/>
  <c r="K9" i="1"/>
  <c r="K8" i="1"/>
  <c r="K5" i="1"/>
  <c r="K4" i="1"/>
</calcChain>
</file>

<file path=xl/sharedStrings.xml><?xml version="1.0" encoding="utf-8"?>
<sst xmlns="http://schemas.openxmlformats.org/spreadsheetml/2006/main" count="147" uniqueCount="24">
  <si>
    <t>Bin_Number</t>
  </si>
  <si>
    <t>Inoculation</t>
  </si>
  <si>
    <t>Surface</t>
  </si>
  <si>
    <t>Date_Group</t>
  </si>
  <si>
    <t>mean_K</t>
  </si>
  <si>
    <t>sd_K</t>
  </si>
  <si>
    <t>n</t>
  </si>
  <si>
    <t>T5R1</t>
  </si>
  <si>
    <t>Inoculated</t>
  </si>
  <si>
    <t>Mound</t>
  </si>
  <si>
    <t>Week_10</t>
  </si>
  <si>
    <t>Week_5</t>
  </si>
  <si>
    <t>Trough</t>
  </si>
  <si>
    <t>Uncolonized</t>
  </si>
  <si>
    <t>T5R2</t>
  </si>
  <si>
    <t>T5R3</t>
  </si>
  <si>
    <t>mound - trough</t>
  </si>
  <si>
    <t>Rep</t>
  </si>
  <si>
    <t>Bare</t>
  </si>
  <si>
    <t>bare</t>
  </si>
  <si>
    <t>Sum of mound - trough</t>
  </si>
  <si>
    <t>Averaged</t>
  </si>
  <si>
    <t>rep 1</t>
  </si>
  <si>
    <t>Average across Reps.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</si>
</sst>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NumberFormat="1"/>
  </cellXfs>
  <cellStyles count="2">
    <cellStyle name="Neutral" xfId="1" builtinId="28"/>
    <cellStyle name="Normal" xfId="0" builtinId="0"/>
  </cellStyles>
  <dxfs count="5">
    <dxf>
      <fill>
        <patternFill>
          <bgColor theme="2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49998474074526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[k_t5_combined_avgs.xlsx]rep1_og!PivotTable32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Potassium</a:t>
            </a:r>
          </a:p>
          <a:p>
            <a:pPr>
              <a:defRPr/>
            </a:pPr>
            <a:r>
              <a:rPr lang="en-US"/>
              <a:t>Sum of mound - trough by </a:t>
            </a:r>
          </a:p>
          <a:p>
            <a:pPr>
              <a:defRPr/>
            </a:pPr>
            <a:r>
              <a:rPr lang="en-US"/>
              <a:t>Date_Group and Inoculated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rep1_og!$B$3:$B$4</c:f>
              <c:strCache>
                <c:ptCount val="1"/>
                <c:pt idx="0">
                  <c:v>Bare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rep1_og!$A$5:$A$6</c:f>
              <c:strCache>
                <c:ptCount val="2"/>
                <c:pt idx="0">
                  <c:v>Week_10</c:v>
                </c:pt>
                <c:pt idx="1">
                  <c:v>Week_5</c:v>
                </c:pt>
              </c:strCache>
            </c:strRef>
          </c:cat>
          <c:val>
            <c:numRef>
              <c:f>rep1_og!$B$5:$B$6</c:f>
              <c:numCache>
                <c:formatCode>General</c:formatCode>
                <c:ptCount val="2"/>
                <c:pt idx="0">
                  <c:v>-0.34460000000000013</c:v>
                </c:pt>
                <c:pt idx="1">
                  <c:v>-0.43672500000000003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B-44A5-8DA8-8CFC939976D6}"/>
            </c:ext>
          </c:extLst>
        </c:ser>
        <c:ser>
          <c:idx val="1"/>
          <c:order val="1"/>
          <c:tx>
            <c:strRef>
              <c:f>rep1_og!$C$3:$C$4</c:f>
              <c:strCache>
                <c:ptCount val="1"/>
                <c:pt idx="0">
                  <c:v>Inoculated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rep1_og!$A$5:$A$6</c:f>
              <c:strCache>
                <c:ptCount val="2"/>
                <c:pt idx="0">
                  <c:v>Week_10</c:v>
                </c:pt>
                <c:pt idx="1">
                  <c:v>Week_5</c:v>
                </c:pt>
              </c:strCache>
            </c:strRef>
          </c:cat>
          <c:val>
            <c:numRef>
              <c:f>rep1_og!$C$5:$C$6</c:f>
              <c:numCache>
                <c:formatCode>General</c:formatCode>
                <c:ptCount val="2"/>
                <c:pt idx="0">
                  <c:v>0.33189166666666692</c:v>
                </c:pt>
                <c:pt idx="1">
                  <c:v>0.46658333333333335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6B-44A5-8DA8-8CFC93997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972447"/>
        <c:axId val="2119970367"/>
      </c:barChart>
      <c:catAx>
        <c:axId val="211997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970367"/>
        <c:crosses val="autoZero"/>
        <c:auto val="1"/>
        <c:lblAlgn val="ctr"/>
        <c:lblOffset val="100"/>
        <c:noMultiLvlLbl val="0"/>
      </c:catAx>
      <c:valAx>
        <c:axId val="211997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97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[k_t5_combined_avgs.xlsx]Sheet4!PivotTable218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5: Potassium Concentration</a:t>
            </a:r>
          </a:p>
          <a:p>
            <a:pPr>
              <a:defRPr/>
            </a:pPr>
            <a:r>
              <a:rPr lang="en-US"/>
              <a:t>Comparison of Mound - Trough</a:t>
            </a:r>
          </a:p>
          <a:p>
            <a:pPr>
              <a:defRPr/>
            </a:pPr>
            <a:r>
              <a:rPr lang="en-US"/>
              <a:t>by Date and Inoculation Area</a:t>
            </a:r>
          </a:p>
        </c:rich>
      </c:tx>
      <c:layout>
        <c:manualLayout>
          <c:xMode val="edge"/>
          <c:yMode val="edge"/>
          <c:x val="0.19424736647803414"/>
          <c:y val="4.2411430516982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gConfetti">
            <a:fgClr>
              <a:schemeClr val="tx1"/>
            </a:fgClr>
            <a:bgClr>
              <a:schemeClr val="bg1"/>
            </a:bgClr>
          </a:patt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Uncolonized</c:v>
                </c:pt>
              </c:strCache>
            </c:strRef>
          </c:tx>
          <c:spPr>
            <a:noFill/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Sheet4!$A$5:$A$6</c:f>
              <c:strCache>
                <c:ptCount val="2"/>
                <c:pt idx="0">
                  <c:v>Week_5</c:v>
                </c:pt>
                <c:pt idx="1">
                  <c:v>Week_10</c:v>
                </c:pt>
              </c:strCache>
            </c:strRef>
          </c:cat>
          <c:val>
            <c:numRef>
              <c:f>Sheet4!$B$5:$B$6</c:f>
              <c:numCache>
                <c:formatCode>General</c:formatCode>
                <c:ptCount val="2"/>
                <c:pt idx="0">
                  <c:v>-0.289275</c:v>
                </c:pt>
                <c:pt idx="1">
                  <c:v>-0.25126666666666669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A-4D92-BE70-C140829DE94A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Inoculated</c:v>
                </c:pt>
              </c:strCache>
            </c:strRef>
          </c:tx>
          <c:spPr>
            <a:pattFill prst="lgConfetti">
              <a:fgClr>
                <a:schemeClr val="tx1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Sheet4!$A$5:$A$6</c:f>
              <c:strCache>
                <c:ptCount val="2"/>
                <c:pt idx="0">
                  <c:v>Week_5</c:v>
                </c:pt>
                <c:pt idx="1">
                  <c:v>Week_10</c:v>
                </c:pt>
              </c:strCache>
            </c:strRef>
          </c:cat>
          <c:val>
            <c:numRef>
              <c:f>Sheet4!$C$5:$C$6</c:f>
              <c:numCache>
                <c:formatCode>General</c:formatCode>
                <c:ptCount val="2"/>
                <c:pt idx="0">
                  <c:v>-7.1805555555555971E-3</c:v>
                </c:pt>
                <c:pt idx="1">
                  <c:v>0.16058888888888898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4A-4D92-BE70-C140829DE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506335"/>
        <c:axId val="354139199"/>
      </c:barChart>
      <c:catAx>
        <c:axId val="2128506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39199"/>
        <c:crosses val="autoZero"/>
        <c:auto val="1"/>
        <c:lblAlgn val="ctr"/>
        <c:lblOffset val="100"/>
        <c:noMultiLvlLbl val="0"/>
      </c:catAx>
      <c:valAx>
        <c:axId val="35413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5063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940839988251911"/>
          <c:y val="0.52851639110521387"/>
          <c:w val="0.15125274083190757"/>
          <c:h val="0.103936425906850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[k_t5_combined_avgs.xlsx]Sheet4!PivotTable218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Potassium Concentration</a:t>
            </a:r>
          </a:p>
          <a:p>
            <a:pPr>
              <a:defRPr/>
            </a:pPr>
            <a:r>
              <a:rPr lang="en-US" sz="1000" baseline="0"/>
              <a:t>Comparison of Mound - Trough</a:t>
            </a:r>
          </a:p>
        </c:rich>
      </c:tx>
      <c:layout>
        <c:manualLayout>
          <c:xMode val="edge"/>
          <c:yMode val="edge"/>
          <c:x val="0.20729348630752259"/>
          <c:y val="1.5695799219127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gConfetti">
            <a:fgClr>
              <a:schemeClr val="tx1"/>
            </a:fgClr>
            <a:bgClr>
              <a:schemeClr val="bg1"/>
            </a:bgClr>
          </a:patt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gConfetti">
            <a:fgClr>
              <a:schemeClr val="tx1"/>
            </a:fgClr>
            <a:bgClr>
              <a:schemeClr val="bg1"/>
            </a:bgClr>
          </a:patt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pct5">
            <a:fgClr>
              <a:schemeClr val="tx1"/>
            </a:fgClr>
            <a:bgClr>
              <a:schemeClr val="bg1"/>
            </a:bgClr>
          </a:patt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pct40">
            <a:fgClr>
              <a:schemeClr val="tx1"/>
            </a:fgClr>
            <a:bgClr>
              <a:schemeClr val="bg1"/>
            </a:bgClr>
          </a:patt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145565416363089"/>
          <c:y val="0.16902130151526243"/>
          <c:w val="0.8885443458363691"/>
          <c:h val="0.745537404839320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Uncolonized</c:v>
                </c:pt>
              </c:strCache>
            </c:strRef>
          </c:tx>
          <c:spPr>
            <a:pattFill prst="pct5">
              <a:fgClr>
                <a:schemeClr val="tx1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Sheet4!$A$5:$A$6</c:f>
              <c:strCache>
                <c:ptCount val="2"/>
                <c:pt idx="0">
                  <c:v>Week_5</c:v>
                </c:pt>
                <c:pt idx="1">
                  <c:v>Week_10</c:v>
                </c:pt>
              </c:strCache>
            </c:strRef>
          </c:cat>
          <c:val>
            <c:numRef>
              <c:f>Sheet4!$B$5:$B$6</c:f>
              <c:numCache>
                <c:formatCode>General</c:formatCode>
                <c:ptCount val="2"/>
                <c:pt idx="0">
                  <c:v>-0.289275</c:v>
                </c:pt>
                <c:pt idx="1">
                  <c:v>-0.25126666666666669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1-4669-8321-FB03C3B70A85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Inoculated</c:v>
                </c:pt>
              </c:strCache>
            </c:strRef>
          </c:tx>
          <c:spPr>
            <a:pattFill prst="pct40">
              <a:fgClr>
                <a:schemeClr val="tx1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Sheet4!$A$5:$A$6</c:f>
              <c:strCache>
                <c:ptCount val="2"/>
                <c:pt idx="0">
                  <c:v>Week_5</c:v>
                </c:pt>
                <c:pt idx="1">
                  <c:v>Week_10</c:v>
                </c:pt>
              </c:strCache>
            </c:strRef>
          </c:cat>
          <c:val>
            <c:numRef>
              <c:f>Sheet4!$C$5:$C$6</c:f>
              <c:numCache>
                <c:formatCode>General</c:formatCode>
                <c:ptCount val="2"/>
                <c:pt idx="0">
                  <c:v>-7.1805555555555971E-3</c:v>
                </c:pt>
                <c:pt idx="1">
                  <c:v>0.16058888888888898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1-4669-8321-FB03C3B70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506335"/>
        <c:axId val="354139199"/>
      </c:barChart>
      <c:catAx>
        <c:axId val="2128506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39199"/>
        <c:crosses val="autoZero"/>
        <c:auto val="0"/>
        <c:lblAlgn val="ctr"/>
        <c:lblOffset val="100"/>
        <c:noMultiLvlLbl val="0"/>
      </c:catAx>
      <c:valAx>
        <c:axId val="35413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50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0340744537141255"/>
          <c:y val="0.18710340900666725"/>
          <c:w val="0.34468825803129122"/>
          <c:h val="0.150220436531254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1</xdr:row>
      <xdr:rowOff>0</xdr:rowOff>
    </xdr:from>
    <xdr:to>
      <xdr:col>13</xdr:col>
      <xdr:colOff>538655</xdr:colOff>
      <xdr:row>18</xdr:row>
      <xdr:rowOff>164224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D5936D-335C-41F9-B4DC-9DD5E1502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447674</xdr:colOff>
      <xdr:row>1</xdr:row>
      <xdr:rowOff>47625</xdr:rowOff>
    </xdr:from>
    <xdr:to>
      <xdr:col>12</xdr:col>
      <xdr:colOff>112521</xdr:colOff>
      <xdr:row>22</xdr:row>
      <xdr:rowOff>164719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41BF5-3EE0-4FF5-BF8C-92868F5E9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438149</xdr:colOff>
      <xdr:row>5</xdr:row>
      <xdr:rowOff>123825</xdr:rowOff>
    </xdr:from>
    <xdr:to>
      <xdr:col>19</xdr:col>
      <xdr:colOff>128584</xdr:colOff>
      <xdr:row>18</xdr:row>
      <xdr:rowOff>183313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7759D8-95D5-48F0-B2A5-EAE3AC480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leen Maldonado" refreshedDate="46128.711998379629" createdVersion="7" refreshedVersion="7" minRefreshableVersion="3" recordCount="4" xr:uid="{1F2E44CA-852B-40AD-BA21-05D940B5F045}">
  <cacheSource type="worksheet">
    <worksheetSource ref="I1:L5" sheet="Sheet1"/>
  </cacheSource>
  <cacheFields count="4">
    <cacheField name="Rep" numFmtId="0">
      <sharedItems containsSemiMixedTypes="0" containsString="0" containsNumber="1" containsInteger="1" minValue="1" maxValue="1"/>
    </cacheField>
    <cacheField name="Date_Group" numFmtId="0">
      <sharedItems count="2">
        <s v="Week_10"/>
        <s v="Week_5"/>
      </sharedItems>
    </cacheField>
    <cacheField name="mound - trough" numFmtId="0">
      <sharedItems containsSemiMixedTypes="0" containsString="0" containsNumber="1" minValue="-0.43672500000000003" maxValue="0.46658333333333335"/>
    </cacheField>
    <cacheField name="Inoculated" numFmtId="0">
      <sharedItems count="2">
        <s v="Inoculated"/>
        <s v="Ba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leen Maldonado" refreshedDate="46128.845065046298" createdVersion="7" refreshedVersion="7" minRefreshableVersion="3" recordCount="4" xr:uid="{C91B1C55-EED6-4702-A302-4444A68CF892}">
  <cacheSource type="worksheet">
    <worksheetSource ref="N1:Q5" sheet="Sheet1"/>
  </cacheSource>
  <cacheFields count="4">
    <cacheField name="Averaged" numFmtId="0">
      <sharedItems containsNonDate="0" containsString="0" containsBlank="1"/>
    </cacheField>
    <cacheField name="Date_Group" numFmtId="0">
      <sharedItems count="2">
        <s v="Week_10"/>
        <s v="Week_5"/>
      </sharedItems>
    </cacheField>
    <cacheField name="mound - trough" numFmtId="0">
      <sharedItems containsSemiMixedTypes="0" containsString="0" containsNumber="1" minValue="-0.289275" maxValue="0.16058888888888898"/>
    </cacheField>
    <cacheField name="Inoculated" numFmtId="0">
      <sharedItems count="2">
        <s v="Inoculated"/>
        <s v="Ba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"/>
    <x v="0"/>
    <n v="0.33189166666666692"/>
    <x v="0"/>
  </r>
  <r>
    <n v="1"/>
    <x v="1"/>
    <n v="0.46658333333333335"/>
    <x v="0"/>
  </r>
  <r>
    <n v="1"/>
    <x v="0"/>
    <n v="-0.34460000000000013"/>
    <x v="1"/>
  </r>
  <r>
    <n v="1"/>
    <x v="1"/>
    <n v="-0.4367250000000000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n v="0.16058888888888898"/>
    <x v="0"/>
  </r>
  <r>
    <m/>
    <x v="1"/>
    <n v="-7.1805555555555971E-3"/>
    <x v="0"/>
  </r>
  <r>
    <m/>
    <x v="0"/>
    <n v="-0.25126666666666669"/>
    <x v="1"/>
  </r>
  <r>
    <m/>
    <x v="1"/>
    <n v="-0.28927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49875-B452-4811-806E-A5B64EEC38EC}" name="PivotTable32" cacheId="8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">
  <location ref="A3:C6" firstHeaderRow="1" firstDataRow="2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Fields count="1">
    <field x="3"/>
  </colFields>
  <colItems count="2">
    <i>
      <x/>
    </i>
    <i>
      <x v="1"/>
    </i>
  </colItems>
  <dataFields count="1">
    <dataField name="Sum of mound - trough" fld="2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B0266-866E-400C-9925-4625625CDA03}" name="PivotTable218" cacheId="9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22">
  <location ref="A3:C6" firstHeaderRow="1" firstDataRow="2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n="Uncolonized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Fields count="1">
    <field x="3"/>
  </colFields>
  <colItems count="2">
    <i>
      <x/>
    </i>
    <i>
      <x v="1"/>
    </i>
  </colItems>
  <dataFields count="1">
    <dataField name="Average across Reps." fld="2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9466-5C8F-4088-9FEF-FFEE9BA8DA5E}">
  <dimension ref="A3:C8"/>
  <sheetViews>
    <sheetView topLeftCell="A4" zoomScale="145" zoomScaleNormal="145" workbookViewId="0">
      <selection activeCell="A8" sqref="A8"/>
    </sheetView>
  </sheetViews>
  <sheetFormatPr defaultRowHeight="15" x14ac:dyDescent="0.25"/>
  <cols>
    <col min="1" max="1" width="21.7109375" bestFit="1" customWidth="1"/>
    <col min="2" max="2" width="12.7109375" bestFit="1" customWidth="1"/>
    <col min="3" max="3" width="12" bestFit="1" customWidth="1"/>
  </cols>
  <sheetData>
    <row r="3" spans="1:3" x14ac:dyDescent="0.25">
      <c r="A3" s="6" t="s">
        <v>20</v>
      </c>
      <c r="B3" s="6" t="s">
        <v>8</v>
      </c>
    </row>
    <row r="4" spans="1:3" x14ac:dyDescent="0.25">
      <c r="A4" s="6" t="s">
        <v>3</v>
      </c>
      <c r="B4" t="s">
        <v>18</v>
      </c>
      <c r="C4" t="s">
        <v>8</v>
      </c>
    </row>
    <row r="5" spans="1:3" x14ac:dyDescent="0.25">
      <c r="A5" t="s">
        <v>10</v>
      </c>
      <c r="B5">
        <v>-0.34460000000000013</v>
      </c>
      <c r="C5">
        <v>0.33189166666666692</v>
      </c>
    </row>
    <row r="6" spans="1:3" x14ac:dyDescent="0.25">
      <c r="A6" t="s">
        <v>11</v>
      </c>
      <c r="B6">
        <v>-0.43672500000000003</v>
      </c>
      <c r="C6">
        <v>0.46658333333333335</v>
      </c>
    </row>
    <row r="8" spans="1:3" x14ac:dyDescent="0.25">
      <c r="A8" t="s">
        <v>22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CE5B-E055-4222-AC65-A782D3C879E1}">
  <dimension ref="A3:C6"/>
  <sheetViews>
    <sheetView tabSelected="1" topLeftCell="D1" zoomScale="85" zoomScaleNormal="85" workbookViewId="0">
      <selection activeCell="T5" sqref="T5"/>
    </sheetView>
  </sheetViews>
  <sheetFormatPr defaultRowHeight="15" x14ac:dyDescent="0.25"/>
  <cols>
    <col min="1" max="1" width="19.7109375" bestFit="1" customWidth="1"/>
    <col min="2" max="3" width="12.85546875" bestFit="1" customWidth="1"/>
  </cols>
  <sheetData>
    <row r="3" spans="1:3" x14ac:dyDescent="0.25">
      <c r="A3" s="6" t="s">
        <v>23</v>
      </c>
      <c r="B3" s="6" t="s">
        <v>8</v>
      </c>
    </row>
    <row r="4" spans="1:3" x14ac:dyDescent="0.25">
      <c r="A4" s="6" t="s">
        <v>3</v>
      </c>
      <c r="B4" t="s">
        <v>13</v>
      </c>
      <c r="C4" t="s">
        <v>8</v>
      </c>
    </row>
    <row r="5" spans="1:3" x14ac:dyDescent="0.25">
      <c r="A5" t="s">
        <v>11</v>
      </c>
      <c r="B5" s="7">
        <v>-0.289275</v>
      </c>
      <c r="C5" s="7">
        <v>-7.1805555555555971E-3</v>
      </c>
    </row>
    <row r="6" spans="1:3" x14ac:dyDescent="0.25">
      <c r="A6" t="s">
        <v>10</v>
      </c>
      <c r="B6" s="7">
        <v>-0.25126666666666669</v>
      </c>
      <c r="C6" s="7">
        <v>0.16058888888888898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opLeftCell="G1" zoomScale="130" zoomScaleNormal="130" workbookViewId="0">
      <selection activeCell="P7" sqref="P7"/>
    </sheetView>
  </sheetViews>
  <sheetFormatPr defaultRowHeight="15" x14ac:dyDescent="0.25"/>
  <cols>
    <col min="2" max="2" width="12" bestFit="1" customWidth="1"/>
    <col min="3" max="3" width="7.5703125" bestFit="1" customWidth="1"/>
    <col min="4" max="4" width="11.7109375" style="2" bestFit="1" customWidth="1"/>
    <col min="8" max="8" width="2.5703125" customWidth="1"/>
    <col min="9" max="9" width="4.42578125" bestFit="1" customWidth="1"/>
    <col min="10" max="10" width="11.7109375" bestFit="1" customWidth="1"/>
    <col min="11" max="11" width="14.85546875" bestFit="1" customWidth="1"/>
    <col min="15" max="15" width="13.140625" bestFit="1" customWidth="1"/>
    <col min="16" max="16" width="14.85546875" bestFit="1" customWidth="1"/>
  </cols>
  <sheetData>
    <row r="1" spans="1:17" s="1" customFormat="1" x14ac:dyDescent="0.25">
      <c r="A1" s="1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I1" s="1" t="s">
        <v>17</v>
      </c>
      <c r="J1" s="1" t="s">
        <v>3</v>
      </c>
      <c r="K1" s="1" t="s">
        <v>16</v>
      </c>
      <c r="L1" s="1" t="s">
        <v>8</v>
      </c>
      <c r="N1" s="1" t="s">
        <v>21</v>
      </c>
      <c r="O1" s="1" t="str">
        <f>J1</f>
        <v>Date_Group</v>
      </c>
      <c r="P1" s="1" t="str">
        <f>K1</f>
        <v>mound - trough</v>
      </c>
      <c r="Q1" s="1" t="str">
        <f>L1</f>
        <v>Inoculated</v>
      </c>
    </row>
    <row r="2" spans="1:17" x14ac:dyDescent="0.25">
      <c r="A2" t="s">
        <v>7</v>
      </c>
      <c r="B2" t="s">
        <v>8</v>
      </c>
      <c r="C2" t="s">
        <v>9</v>
      </c>
      <c r="D2" s="2" t="s">
        <v>10</v>
      </c>
      <c r="E2" s="4">
        <v>1.182641666666667</v>
      </c>
      <c r="F2">
        <v>0.23418198081596481</v>
      </c>
      <c r="G2">
        <v>2</v>
      </c>
      <c r="I2">
        <v>1</v>
      </c>
      <c r="J2" s="4" t="s">
        <v>10</v>
      </c>
      <c r="K2" s="4">
        <f>E2-E4</f>
        <v>0.33189166666666692</v>
      </c>
      <c r="L2" s="4" t="s">
        <v>8</v>
      </c>
      <c r="O2" t="str">
        <f>J2</f>
        <v>Week_10</v>
      </c>
      <c r="P2">
        <f>AVERAGE(K2,K8,K14)</f>
        <v>0.16058888888888898</v>
      </c>
      <c r="Q2" t="str">
        <f>L2</f>
        <v>Inoculated</v>
      </c>
    </row>
    <row r="3" spans="1:17" x14ac:dyDescent="0.25">
      <c r="A3" t="s">
        <v>7</v>
      </c>
      <c r="B3" t="s">
        <v>8</v>
      </c>
      <c r="C3" t="s">
        <v>9</v>
      </c>
      <c r="D3" s="2" t="s">
        <v>11</v>
      </c>
      <c r="E3" s="4">
        <v>1.266775</v>
      </c>
      <c r="F3">
        <v>0.21414728868234609</v>
      </c>
      <c r="G3">
        <v>2</v>
      </c>
      <c r="I3">
        <v>1</v>
      </c>
      <c r="J3" s="4" t="s">
        <v>11</v>
      </c>
      <c r="K3" s="4">
        <f>E3-E5</f>
        <v>0.46658333333333335</v>
      </c>
      <c r="L3" s="4" t="s">
        <v>8</v>
      </c>
      <c r="O3" t="str">
        <f>J3</f>
        <v>Week_5</v>
      </c>
      <c r="P3">
        <f>AVERAGE(K3,K9,K15)</f>
        <v>-7.1805555555555971E-3</v>
      </c>
      <c r="Q3" t="str">
        <f>L3</f>
        <v>Inoculated</v>
      </c>
    </row>
    <row r="4" spans="1:17" x14ac:dyDescent="0.25">
      <c r="A4" t="s">
        <v>7</v>
      </c>
      <c r="B4" t="s">
        <v>8</v>
      </c>
      <c r="C4" t="s">
        <v>12</v>
      </c>
      <c r="D4" s="2" t="s">
        <v>10</v>
      </c>
      <c r="E4" s="4">
        <v>0.85075000000000012</v>
      </c>
      <c r="F4">
        <v>1.6192745289171959E-2</v>
      </c>
      <c r="G4">
        <v>2</v>
      </c>
      <c r="I4">
        <v>1</v>
      </c>
      <c r="J4" s="4" t="s">
        <v>10</v>
      </c>
      <c r="K4" s="4">
        <f>E6-E8</f>
        <v>-0.34460000000000013</v>
      </c>
      <c r="L4" s="4" t="s">
        <v>18</v>
      </c>
      <c r="O4" t="str">
        <f>O2</f>
        <v>Week_10</v>
      </c>
      <c r="P4">
        <f>AVERAGE(K4,K10,K16)</f>
        <v>-0.25126666666666669</v>
      </c>
      <c r="Q4" t="str">
        <f>L4</f>
        <v>Bare</v>
      </c>
    </row>
    <row r="5" spans="1:17" x14ac:dyDescent="0.25">
      <c r="A5" t="s">
        <v>7</v>
      </c>
      <c r="B5" t="s">
        <v>8</v>
      </c>
      <c r="C5" t="s">
        <v>12</v>
      </c>
      <c r="D5" s="2" t="s">
        <v>11</v>
      </c>
      <c r="E5" s="4">
        <v>0.80019166666666663</v>
      </c>
      <c r="F5">
        <v>0.26510611737985651</v>
      </c>
      <c r="G5">
        <v>2</v>
      </c>
      <c r="I5">
        <v>1</v>
      </c>
      <c r="J5" s="4" t="s">
        <v>11</v>
      </c>
      <c r="K5" s="4">
        <f>E7-E9</f>
        <v>-0.43672500000000003</v>
      </c>
      <c r="L5" s="4" t="s">
        <v>18</v>
      </c>
      <c r="O5" t="str">
        <f>O3</f>
        <v>Week_5</v>
      </c>
      <c r="P5">
        <f>AVERAGE(K5,K11,K17)</f>
        <v>-0.289275</v>
      </c>
      <c r="Q5" t="str">
        <f>Q4</f>
        <v>Bare</v>
      </c>
    </row>
    <row r="6" spans="1:17" x14ac:dyDescent="0.25">
      <c r="A6" t="s">
        <v>7</v>
      </c>
      <c r="B6" t="s">
        <v>13</v>
      </c>
      <c r="C6" t="s">
        <v>9</v>
      </c>
      <c r="D6" s="2" t="s">
        <v>10</v>
      </c>
      <c r="E6" s="4">
        <v>0.93727499999999997</v>
      </c>
      <c r="F6">
        <v>2.138998013089298E-2</v>
      </c>
      <c r="G6">
        <v>2</v>
      </c>
    </row>
    <row r="7" spans="1:17" x14ac:dyDescent="0.25">
      <c r="A7" t="s">
        <v>7</v>
      </c>
      <c r="B7" t="s">
        <v>13</v>
      </c>
      <c r="C7" t="s">
        <v>9</v>
      </c>
      <c r="D7" s="2" t="s">
        <v>11</v>
      </c>
      <c r="E7" s="4">
        <v>0.90322499999999994</v>
      </c>
      <c r="F7">
        <v>0.1092833530323809</v>
      </c>
      <c r="G7">
        <v>2</v>
      </c>
    </row>
    <row r="8" spans="1:17" x14ac:dyDescent="0.25">
      <c r="A8" t="s">
        <v>7</v>
      </c>
      <c r="B8" t="s">
        <v>13</v>
      </c>
      <c r="C8" t="s">
        <v>12</v>
      </c>
      <c r="D8" s="2" t="s">
        <v>10</v>
      </c>
      <c r="E8" s="4">
        <v>1.2818750000000001</v>
      </c>
      <c r="F8">
        <v>0.52605208986373209</v>
      </c>
      <c r="G8">
        <v>2</v>
      </c>
      <c r="I8">
        <v>2</v>
      </c>
      <c r="J8" s="5" t="s">
        <v>10</v>
      </c>
      <c r="K8" s="5">
        <f>E10-E12</f>
        <v>0.30412499999999998</v>
      </c>
      <c r="L8" s="5" t="s">
        <v>8</v>
      </c>
    </row>
    <row r="9" spans="1:17" x14ac:dyDescent="0.25">
      <c r="A9" t="s">
        <v>7</v>
      </c>
      <c r="B9" t="s">
        <v>13</v>
      </c>
      <c r="C9" t="s">
        <v>12</v>
      </c>
      <c r="D9" s="2" t="s">
        <v>11</v>
      </c>
      <c r="E9" s="4">
        <v>1.33995</v>
      </c>
      <c r="F9">
        <v>0.3290874959642191</v>
      </c>
      <c r="G9">
        <v>2</v>
      </c>
      <c r="I9">
        <v>2</v>
      </c>
      <c r="J9" s="5" t="s">
        <v>11</v>
      </c>
      <c r="K9" s="5">
        <f>E11-E13</f>
        <v>0.15877499999999989</v>
      </c>
      <c r="L9" s="5" t="s">
        <v>8</v>
      </c>
    </row>
    <row r="10" spans="1:17" x14ac:dyDescent="0.25">
      <c r="A10" s="5" t="s">
        <v>14</v>
      </c>
      <c r="B10" t="s">
        <v>8</v>
      </c>
      <c r="C10" t="s">
        <v>9</v>
      </c>
      <c r="D10" s="2" t="s">
        <v>10</v>
      </c>
      <c r="E10">
        <v>1.6406499999999999</v>
      </c>
      <c r="F10">
        <v>0.26771062735722678</v>
      </c>
      <c r="G10">
        <v>2</v>
      </c>
      <c r="I10">
        <v>2</v>
      </c>
      <c r="J10" s="5" t="s">
        <v>10</v>
      </c>
      <c r="K10" s="5">
        <f>E14-E16</f>
        <v>-0.39627499999999993</v>
      </c>
      <c r="L10" s="5" t="s">
        <v>19</v>
      </c>
    </row>
    <row r="11" spans="1:17" x14ac:dyDescent="0.25">
      <c r="A11" s="5" t="s">
        <v>14</v>
      </c>
      <c r="B11" t="s">
        <v>8</v>
      </c>
      <c r="C11" t="s">
        <v>9</v>
      </c>
      <c r="D11" s="2" t="s">
        <v>11</v>
      </c>
      <c r="E11">
        <v>1.59185</v>
      </c>
      <c r="F11">
        <v>1.4849242404917429E-3</v>
      </c>
      <c r="G11">
        <v>2</v>
      </c>
      <c r="I11">
        <v>2</v>
      </c>
      <c r="J11" s="5" t="s">
        <v>11</v>
      </c>
      <c r="K11" s="5">
        <f>E15-E17</f>
        <v>-0.25237500000000002</v>
      </c>
      <c r="L11" s="5" t="s">
        <v>19</v>
      </c>
    </row>
    <row r="12" spans="1:17" x14ac:dyDescent="0.25">
      <c r="A12" s="5" t="s">
        <v>14</v>
      </c>
      <c r="B12" t="s">
        <v>8</v>
      </c>
      <c r="C12" t="s">
        <v>12</v>
      </c>
      <c r="D12" s="2" t="s">
        <v>10</v>
      </c>
      <c r="E12">
        <v>1.336525</v>
      </c>
      <c r="F12">
        <v>0.29504030445008711</v>
      </c>
      <c r="G12">
        <v>2</v>
      </c>
    </row>
    <row r="13" spans="1:17" x14ac:dyDescent="0.25">
      <c r="A13" s="5" t="s">
        <v>14</v>
      </c>
      <c r="B13" t="s">
        <v>8</v>
      </c>
      <c r="C13" t="s">
        <v>12</v>
      </c>
      <c r="D13" s="2" t="s">
        <v>11</v>
      </c>
      <c r="E13">
        <v>1.4330750000000001</v>
      </c>
      <c r="F13">
        <v>0.29687878208117202</v>
      </c>
      <c r="G13">
        <v>2</v>
      </c>
    </row>
    <row r="14" spans="1:17" x14ac:dyDescent="0.25">
      <c r="A14" s="5" t="s">
        <v>14</v>
      </c>
      <c r="B14" t="s">
        <v>13</v>
      </c>
      <c r="C14" t="s">
        <v>9</v>
      </c>
      <c r="D14" s="2" t="s">
        <v>10</v>
      </c>
      <c r="E14">
        <v>0.754</v>
      </c>
      <c r="F14">
        <v>0.195585735676199</v>
      </c>
      <c r="G14">
        <v>2</v>
      </c>
      <c r="I14">
        <v>3</v>
      </c>
      <c r="J14" s="4" t="s">
        <v>10</v>
      </c>
      <c r="K14" s="4">
        <f>E18-E20</f>
        <v>-0.15425</v>
      </c>
      <c r="L14" s="4" t="s">
        <v>8</v>
      </c>
    </row>
    <row r="15" spans="1:17" x14ac:dyDescent="0.25">
      <c r="A15" s="5" t="s">
        <v>14</v>
      </c>
      <c r="B15" t="s">
        <v>13</v>
      </c>
      <c r="C15" t="s">
        <v>9</v>
      </c>
      <c r="D15" s="2" t="s">
        <v>11</v>
      </c>
      <c r="E15">
        <v>0.86315000000000008</v>
      </c>
      <c r="F15">
        <v>8.2731493398826128E-2</v>
      </c>
      <c r="G15">
        <v>2</v>
      </c>
      <c r="I15">
        <v>3</v>
      </c>
      <c r="J15" s="4" t="s">
        <v>11</v>
      </c>
      <c r="K15" s="4">
        <f>E19-E21</f>
        <v>-0.64690000000000003</v>
      </c>
      <c r="L15" s="4" t="s">
        <v>8</v>
      </c>
    </row>
    <row r="16" spans="1:17" x14ac:dyDescent="0.25">
      <c r="A16" s="5" t="s">
        <v>14</v>
      </c>
      <c r="B16" t="s">
        <v>13</v>
      </c>
      <c r="C16" t="s">
        <v>12</v>
      </c>
      <c r="D16" s="2" t="s">
        <v>10</v>
      </c>
      <c r="E16">
        <v>1.1502749999999999</v>
      </c>
      <c r="F16">
        <v>0.10709132201070271</v>
      </c>
      <c r="G16">
        <v>2</v>
      </c>
      <c r="I16">
        <v>3</v>
      </c>
      <c r="J16" s="4" t="s">
        <v>10</v>
      </c>
      <c r="K16" s="4">
        <f>E22-E24</f>
        <v>-1.2925000000000075E-2</v>
      </c>
      <c r="L16" s="4" t="s">
        <v>18</v>
      </c>
    </row>
    <row r="17" spans="1:12" x14ac:dyDescent="0.25">
      <c r="A17" s="5" t="s">
        <v>14</v>
      </c>
      <c r="B17" t="s">
        <v>13</v>
      </c>
      <c r="C17" t="s">
        <v>12</v>
      </c>
      <c r="D17" s="2" t="s">
        <v>11</v>
      </c>
      <c r="E17">
        <v>1.1155250000000001</v>
      </c>
      <c r="F17">
        <v>0.3056469061678852</v>
      </c>
      <c r="G17">
        <v>2</v>
      </c>
      <c r="I17">
        <v>3</v>
      </c>
      <c r="J17" s="4" t="s">
        <v>11</v>
      </c>
      <c r="K17" s="4">
        <f>E23-E25</f>
        <v>-0.17872500000000002</v>
      </c>
      <c r="L17" s="4" t="s">
        <v>18</v>
      </c>
    </row>
    <row r="18" spans="1:12" x14ac:dyDescent="0.25">
      <c r="A18" t="s">
        <v>15</v>
      </c>
      <c r="B18" t="s">
        <v>8</v>
      </c>
      <c r="C18" t="s">
        <v>9</v>
      </c>
      <c r="D18" s="2" t="s">
        <v>10</v>
      </c>
      <c r="E18">
        <v>0.93805000000000005</v>
      </c>
      <c r="F18">
        <v>0.27605448737522797</v>
      </c>
      <c r="G18">
        <v>2</v>
      </c>
    </row>
    <row r="19" spans="1:12" x14ac:dyDescent="0.25">
      <c r="A19" t="s">
        <v>15</v>
      </c>
      <c r="B19" t="s">
        <v>8</v>
      </c>
      <c r="C19" t="s">
        <v>9</v>
      </c>
      <c r="D19" s="2" t="s">
        <v>11</v>
      </c>
      <c r="E19">
        <v>0.30927500000000002</v>
      </c>
      <c r="F19">
        <v>0.14548722022913221</v>
      </c>
      <c r="G19">
        <v>2</v>
      </c>
    </row>
    <row r="20" spans="1:12" x14ac:dyDescent="0.25">
      <c r="A20" t="s">
        <v>15</v>
      </c>
      <c r="B20" t="s">
        <v>8</v>
      </c>
      <c r="C20" t="s">
        <v>12</v>
      </c>
      <c r="D20" s="2" t="s">
        <v>10</v>
      </c>
      <c r="E20">
        <v>1.0923</v>
      </c>
      <c r="F20">
        <v>0.1714733944377379</v>
      </c>
      <c r="G20">
        <v>2</v>
      </c>
    </row>
    <row r="21" spans="1:12" x14ac:dyDescent="0.25">
      <c r="A21" t="s">
        <v>15</v>
      </c>
      <c r="B21" t="s">
        <v>8</v>
      </c>
      <c r="C21" t="s">
        <v>12</v>
      </c>
      <c r="D21" s="2" t="s">
        <v>11</v>
      </c>
      <c r="E21">
        <v>0.956175</v>
      </c>
      <c r="F21">
        <v>4.3875975772625309E-2</v>
      </c>
      <c r="G21">
        <v>2</v>
      </c>
    </row>
    <row r="22" spans="1:12" x14ac:dyDescent="0.25">
      <c r="A22" t="s">
        <v>15</v>
      </c>
      <c r="B22" t="s">
        <v>13</v>
      </c>
      <c r="C22" t="s">
        <v>9</v>
      </c>
      <c r="D22" s="2" t="s">
        <v>10</v>
      </c>
      <c r="E22">
        <v>1.0726</v>
      </c>
      <c r="F22">
        <v>0.2926007860549934</v>
      </c>
      <c r="G22">
        <v>3</v>
      </c>
    </row>
    <row r="23" spans="1:12" x14ac:dyDescent="0.25">
      <c r="A23" t="s">
        <v>15</v>
      </c>
      <c r="B23" t="s">
        <v>13</v>
      </c>
      <c r="C23" t="s">
        <v>9</v>
      </c>
      <c r="D23" s="2" t="s">
        <v>11</v>
      </c>
      <c r="E23">
        <v>0.70389999999999997</v>
      </c>
      <c r="F23">
        <v>0.42143564158718227</v>
      </c>
      <c r="G23">
        <v>2</v>
      </c>
    </row>
    <row r="24" spans="1:12" x14ac:dyDescent="0.25">
      <c r="A24" t="s">
        <v>15</v>
      </c>
      <c r="B24" t="s">
        <v>13</v>
      </c>
      <c r="C24" t="s">
        <v>12</v>
      </c>
      <c r="D24" s="2" t="s">
        <v>10</v>
      </c>
      <c r="E24">
        <v>1.0855250000000001</v>
      </c>
      <c r="F24">
        <v>0.31540497974825937</v>
      </c>
      <c r="G24">
        <v>2</v>
      </c>
    </row>
    <row r="25" spans="1:12" x14ac:dyDescent="0.25">
      <c r="A25" t="s">
        <v>15</v>
      </c>
      <c r="B25" t="s">
        <v>13</v>
      </c>
      <c r="C25" t="s">
        <v>12</v>
      </c>
      <c r="D25" s="2" t="s">
        <v>11</v>
      </c>
      <c r="E25">
        <v>0.88262499999999999</v>
      </c>
      <c r="F25">
        <v>5.3139074606168922E-2</v>
      </c>
      <c r="G25">
        <v>2</v>
      </c>
    </row>
  </sheetData>
  <phoneticPr fontId="3" type="noConversion"/>
  <conditionalFormatting sqref="B1:B1048576">
    <cfRule type="cellIs" dxfId="4" priority="5" operator="equal">
      <formula>"Inoculated"</formula>
    </cfRule>
  </conditionalFormatting>
  <conditionalFormatting sqref="C1">
    <cfRule type="cellIs" dxfId="3" priority="4" operator="equal">
      <formula>"Mound"</formula>
    </cfRule>
  </conditionalFormatting>
  <conditionalFormatting sqref="C1:C1048576 L2:L5 L8:L11">
    <cfRule type="cellIs" dxfId="2" priority="3" operator="equal">
      <formula>"Mound"</formula>
    </cfRule>
  </conditionalFormatting>
  <conditionalFormatting sqref="D1:D1048576">
    <cfRule type="cellIs" dxfId="1" priority="6" operator="equal">
      <formula>"Week_10"</formula>
    </cfRule>
  </conditionalFormatting>
  <conditionalFormatting sqref="L14:L17 L20:L23">
    <cfRule type="cellIs" dxfId="0" priority="1" operator="equal">
      <formula>"Mound"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rep1_og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Myleen Maldonado</cp:lastModifiedBy>
  <dcterms:created xsi:type="dcterms:W3CDTF">2026-04-16T23:43:48Z</dcterms:created>
  <dcterms:modified xsi:type="dcterms:W3CDTF">2026-04-17T20:02:09Z</dcterms:modified>
</cp:coreProperties>
</file>