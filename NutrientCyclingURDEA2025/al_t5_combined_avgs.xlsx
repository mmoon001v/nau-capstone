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u0-my.sharepoint.com/personal/mm4977_nau_edu/Documents/URDEA/NutrientCyclingURDEA2025/"/>
    </mc:Choice>
  </mc:AlternateContent>
  <xr:revisionPtr revIDLastSave="144" documentId="11_4E617EDA8F79A8D366075C52F37BD272DAC1F4CD" xr6:coauthVersionLast="47" xr6:coauthVersionMax="47" xr10:uidLastSave="{FE720D27-352B-444B-8177-FD801F55EF4A}"/>
  <bookViews>
    <workbookView xWindow="2175" yWindow="-16320" windowWidth="29040" windowHeight="15720" activeTab="4" xr2:uid="{00000000-000D-0000-FFFF-FFFF00000000}"/>
  </bookViews>
  <sheets>
    <sheet name="rep1_og" sheetId="2" r:id="rId1"/>
    <sheet name="v1" sheetId="5" r:id="rId2"/>
    <sheet name="v2" sheetId="4" r:id="rId3"/>
    <sheet name="final_figure" sheetId="6" r:id="rId4"/>
    <sheet name="Sheet1" sheetId="1" r:id="rId5"/>
  </sheets>
  <calcPr calcId="191029"/>
  <pivotCaches>
    <pivotCache cacheId="5" r:id="rId6"/>
    <pivotCache cacheId="6" r:id="rId7"/>
    <pivotCache cacheId="7" r:id="rId8"/>
    <pivotCache cacheId="1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6" i="1" l="1"/>
  <c r="S6" i="1"/>
  <c r="T6" i="1"/>
  <c r="T7" i="1"/>
  <c r="T8" i="1"/>
  <c r="T9" i="1"/>
  <c r="T10" i="1"/>
  <c r="S7" i="1"/>
  <c r="S2" i="1"/>
  <c r="S10" i="1"/>
  <c r="S9" i="1"/>
  <c r="S8" i="1"/>
  <c r="T1" i="1"/>
  <c r="S1" i="1"/>
  <c r="U1" i="1"/>
  <c r="S3" i="1"/>
  <c r="K11" i="1"/>
  <c r="K10" i="1"/>
  <c r="K9" i="1"/>
  <c r="K8" i="1"/>
  <c r="K17" i="1"/>
  <c r="K16" i="1"/>
  <c r="K15" i="1"/>
  <c r="K14" i="1"/>
  <c r="K5" i="1"/>
  <c r="K4" i="1"/>
  <c r="K3" i="1"/>
  <c r="K2" i="1"/>
  <c r="U3" i="1" l="1"/>
  <c r="T3" i="1"/>
  <c r="T2" i="1"/>
  <c r="U2" i="1"/>
  <c r="W7" i="1" l="1"/>
</calcChain>
</file>

<file path=xl/sharedStrings.xml><?xml version="1.0" encoding="utf-8"?>
<sst xmlns="http://schemas.openxmlformats.org/spreadsheetml/2006/main" count="201" uniqueCount="31">
  <si>
    <t>Bin_Number</t>
  </si>
  <si>
    <t>Inoculation</t>
  </si>
  <si>
    <t>Surface</t>
  </si>
  <si>
    <t>Date_Group</t>
  </si>
  <si>
    <t>mean_Al</t>
  </si>
  <si>
    <t>sd_Al</t>
  </si>
  <si>
    <t>n</t>
  </si>
  <si>
    <t>T5R1</t>
  </si>
  <si>
    <t>Inoculated</t>
  </si>
  <si>
    <t>Mound</t>
  </si>
  <si>
    <t>Week_10</t>
  </si>
  <si>
    <t>Week_5</t>
  </si>
  <si>
    <t>Trough</t>
  </si>
  <si>
    <t>Uncolonized</t>
  </si>
  <si>
    <t>T5R2</t>
  </si>
  <si>
    <t>T5R3</t>
  </si>
  <si>
    <t>Rep</t>
  </si>
  <si>
    <t>mound - trough</t>
  </si>
  <si>
    <t>Bare</t>
  </si>
  <si>
    <t>bare</t>
  </si>
  <si>
    <t>Sum of mound - trough</t>
  </si>
  <si>
    <t>Averaged</t>
  </si>
  <si>
    <t>Row Labels</t>
  </si>
  <si>
    <t>Grand Total</t>
  </si>
  <si>
    <t>Sum of Bare</t>
  </si>
  <si>
    <t>Sum of Inoculated</t>
  </si>
  <si>
    <t>using just rep 1</t>
  </si>
  <si>
    <t>covered source</t>
  </si>
  <si>
    <t>averaged across repeitions</t>
  </si>
  <si>
    <t xml:space="preserve">summed of </t>
  </si>
  <si>
    <t>Average across Reps.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</si>
</sst>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[al_t5_combined_avgs.xlsx]rep1_og!PivotTable47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Aluminum</a:t>
            </a:r>
          </a:p>
          <a:p>
            <a:pPr>
              <a:defRPr/>
            </a:pPr>
            <a:r>
              <a:rPr lang="en-US"/>
              <a:t>Sum of mound - trough by Date_Group and Inoculated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rep1_og!$B$3:$B$4</c:f>
              <c:strCache>
                <c:ptCount val="1"/>
                <c:pt idx="0">
                  <c:v>Bare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rep1_og!$A$5:$A$6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rep1_og!$B$5:$B$6</c:f>
              <c:numCache>
                <c:formatCode>General</c:formatCode>
                <c:ptCount val="2"/>
                <c:pt idx="0">
                  <c:v>-2.1874250000000002</c:v>
                </c:pt>
                <c:pt idx="1">
                  <c:v>1.6153249999999995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E-45E0-9ABB-C9531DC73DF7}"/>
            </c:ext>
          </c:extLst>
        </c:ser>
        <c:ser>
          <c:idx val="1"/>
          <c:order val="1"/>
          <c:tx>
            <c:strRef>
              <c:f>rep1_og!$C$3:$C$4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rep1_og!$A$5:$A$6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rep1_og!$C$5:$C$6</c:f>
              <c:numCache>
                <c:formatCode>General</c:formatCode>
                <c:ptCount val="2"/>
                <c:pt idx="0">
                  <c:v>-0.91435833333333427</c:v>
                </c:pt>
                <c:pt idx="1">
                  <c:v>1.2024166666666671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E-45E0-9ABB-C9531DC73D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8969055"/>
        <c:axId val="88969471"/>
      </c:barChart>
      <c:catAx>
        <c:axId val="8896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9471"/>
        <c:crosses val="autoZero"/>
        <c:auto val="1"/>
        <c:lblAlgn val="ctr"/>
        <c:lblOffset val="100"/>
        <c:noMultiLvlLbl val="0"/>
      </c:catAx>
      <c:valAx>
        <c:axId val="8896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6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[al_t5_combined_avgs.xlsx]v1!PivotTable191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mound - trough by Date_Group and Inoculated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'v1'!$B$3:$B$4</c:f>
              <c:strCache>
                <c:ptCount val="1"/>
                <c:pt idx="0">
                  <c:v>Bare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'v1'!$A$5:$A$6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'v1'!$B$5:$B$6</c:f>
              <c:numCache>
                <c:formatCode>General</c:formatCode>
                <c:ptCount val="2"/>
                <c:pt idx="0">
                  <c:v>-3.0127583333333336</c:v>
                </c:pt>
                <c:pt idx="1">
                  <c:v>0.97712499999999869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0-49B9-B98C-E683550FC1BC}"/>
            </c:ext>
          </c:extLst>
        </c:ser>
        <c:ser>
          <c:idx val="1"/>
          <c:order val="1"/>
          <c:tx>
            <c:strRef>
              <c:f>'v1'!$C$3:$C$4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'v1'!$A$5:$A$6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'v1'!$C$5:$C$6</c:f>
              <c:numCache>
                <c:formatCode>General</c:formatCode>
                <c:ptCount val="2"/>
                <c:pt idx="0">
                  <c:v>-1.3611333333333349</c:v>
                </c:pt>
                <c:pt idx="1">
                  <c:v>-0.10523333333333174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E0-49B9-B98C-E683550F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86943"/>
        <c:axId val="186486111"/>
      </c:barChart>
      <c:catAx>
        <c:axId val="18648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6111"/>
        <c:crosses val="autoZero"/>
        <c:auto val="1"/>
        <c:lblAlgn val="ctr"/>
        <c:lblOffset val="100"/>
        <c:noMultiLvlLbl val="0"/>
      </c:catAx>
      <c:valAx>
        <c:axId val="18648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8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</a:t>
            </a:r>
            <a:r>
              <a:rPr lang="en-US" baseline="0"/>
              <a:t> 5: Aluminum Averages across repetitions</a:t>
            </a:r>
          </a:p>
          <a:p>
            <a:pPr>
              <a:defRPr/>
            </a:pPr>
            <a:r>
              <a:rPr lang="en-US"/>
              <a:t>mound - trough comparison </a:t>
            </a:r>
          </a:p>
          <a:p>
            <a:pPr>
              <a:defRPr/>
            </a:pPr>
            <a:r>
              <a:rPr lang="en-US"/>
              <a:t>by</a:t>
            </a:r>
            <a:r>
              <a:rPr lang="en-US" baseline="0"/>
              <a:t> Date and Position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Inoculated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Sheet1!$S$2:$S$3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Sheet1!$T$2:$T$3</c:f>
              <c:numCache>
                <c:formatCode>General</c:formatCode>
                <c:ptCount val="2"/>
                <c:pt idx="0">
                  <c:v>-0.45371111111111162</c:v>
                </c:pt>
                <c:pt idx="1">
                  <c:v>-3.5077777777777243E-2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F-4A04-9A6D-93D7626C17DF}"/>
            </c:ext>
          </c:extLst>
        </c:ser>
        <c:ser>
          <c:idx val="1"/>
          <c:order val="1"/>
          <c:tx>
            <c:strRef>
              <c:f>Sheet1!$U$1</c:f>
              <c:strCache>
                <c:ptCount val="1"/>
                <c:pt idx="0">
                  <c:v>Bare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Sheet1!$S$2:$S$3</c:f>
              <c:strCache>
                <c:ptCount val="2"/>
                <c:pt idx="0">
                  <c:v>Week_10</c:v>
                </c:pt>
                <c:pt idx="1">
                  <c:v>Week_5</c:v>
                </c:pt>
              </c:strCache>
            </c:strRef>
          </c:cat>
          <c:val>
            <c:numRef>
              <c:f>Sheet1!$U$2:$U$3</c:f>
              <c:numCache>
                <c:formatCode>General</c:formatCode>
                <c:ptCount val="2"/>
                <c:pt idx="0">
                  <c:v>-1.0042527777777779</c:v>
                </c:pt>
                <c:pt idx="1">
                  <c:v>0.32570833333333288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F-4A04-9A6D-93D7626C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62575"/>
        <c:axId val="159858831"/>
      </c:barChart>
      <c:catAx>
        <c:axId val="15986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58831"/>
        <c:crosses val="autoZero"/>
        <c:auto val="1"/>
        <c:lblAlgn val="ctr"/>
        <c:lblOffset val="100"/>
        <c:noMultiLvlLbl val="0"/>
      </c:catAx>
      <c:valAx>
        <c:axId val="15985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[al_t5_combined_avgs.xlsx]final_figure!PivotTable208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Aluminum Concentration</a:t>
            </a:r>
          </a:p>
          <a:p>
            <a:pPr>
              <a:defRPr/>
            </a:pP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Comparison of Mound - Trough</a:t>
            </a:r>
          </a:p>
        </c:rich>
      </c:tx>
      <c:layout>
        <c:manualLayout>
          <c:xMode val="edge"/>
          <c:yMode val="edge"/>
          <c:x val="0.19871794871794876"/>
          <c:y val="1.9458155417140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pct5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pct40">
            <a:fgClr>
              <a:schemeClr val="tx1"/>
            </a:fgClr>
            <a:bgClr>
              <a:schemeClr val="bg1"/>
            </a:bgClr>
          </a:pattFill>
          <a:ln w="127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45565416363089"/>
          <c:y val="0.17454476306133376"/>
          <c:w val="0.8885443458363691"/>
          <c:h val="0.731144148026272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final_figure!$B$3:$B$4</c:f>
              <c:strCache>
                <c:ptCount val="1"/>
                <c:pt idx="0">
                  <c:v>Uncolonized</c:v>
                </c:pt>
              </c:strCache>
            </c:strRef>
          </c:tx>
          <c:spPr>
            <a:pattFill prst="pct5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final_figure!$A$5:$A$6</c:f>
              <c:strCache>
                <c:ptCount val="2"/>
                <c:pt idx="0">
                  <c:v>Week_5</c:v>
                </c:pt>
                <c:pt idx="1">
                  <c:v>Week_10</c:v>
                </c:pt>
              </c:strCache>
            </c:strRef>
          </c:cat>
          <c:val>
            <c:numRef>
              <c:f>final_figure!$B$5:$B$6</c:f>
              <c:numCache>
                <c:formatCode>General</c:formatCode>
                <c:ptCount val="2"/>
                <c:pt idx="0">
                  <c:v>0.32570833333333288</c:v>
                </c:pt>
                <c:pt idx="1">
                  <c:v>-1.0042527777777779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9D-4FCA-99A2-BDBD7423A0CF}"/>
            </c:ext>
          </c:extLst>
        </c:ser>
        <c:ser>
          <c:idx val="1"/>
          <c:order val="1"/>
          <c:tx>
            <c:strRef>
              <c:f>final_figure!$C$3:$C$4</c:f>
              <c:strCache>
                <c:ptCount val="1"/>
                <c:pt idx="0">
                  <c:v>Inoculated</c:v>
                </c:pt>
              </c:strCache>
            </c:strRef>
          </c:tx>
          <c:spPr>
            <a:pattFill prst="pct40">
              <a:fgClr>
                <a:schemeClr val="tx1"/>
              </a:fgClr>
              <a:bgClr>
                <a:schemeClr val="bg1"/>
              </a:bgClr>
            </a:patt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final_figure!$A$5:$A$6</c:f>
              <c:strCache>
                <c:ptCount val="2"/>
                <c:pt idx="0">
                  <c:v>Week_5</c:v>
                </c:pt>
                <c:pt idx="1">
                  <c:v>Week_10</c:v>
                </c:pt>
              </c:strCache>
            </c:strRef>
          </c:cat>
          <c:val>
            <c:numRef>
              <c:f>final_figure!$C$5:$C$6</c:f>
              <c:numCache>
                <c:formatCode>General</c:formatCode>
                <c:ptCount val="2"/>
                <c:pt idx="0">
                  <c:v>-3.5077777777777243E-2</c:v>
                </c:pt>
                <c:pt idx="1">
                  <c:v>-0.45371111111111162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9D-4FCA-99A2-BDBD7423A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45007"/>
        <c:axId val="159941679"/>
      </c:barChart>
      <c:catAx>
        <c:axId val="15994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1679"/>
        <c:crosses val="autoZero"/>
        <c:auto val="1"/>
        <c:lblAlgn val="ctr"/>
        <c:lblOffset val="100"/>
        <c:noMultiLvlLbl val="0"/>
      </c:catAx>
      <c:valAx>
        <c:axId val="15994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4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729954788799206"/>
          <c:y val="0.20609958736501219"/>
          <c:w val="0.290305319276562"/>
          <c:h val="0.145185326647601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4</xdr:row>
      <xdr:rowOff>90487</xdr:rowOff>
    </xdr:from>
    <xdr:to>
      <xdr:col>15</xdr:col>
      <xdr:colOff>457200</xdr:colOff>
      <xdr:row>28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F426A9-DCAC-4EFA-BBD8-E46C8D3F6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4</xdr:row>
      <xdr:rowOff>28575</xdr:rowOff>
    </xdr:from>
    <xdr:to>
      <xdr:col>13</xdr:col>
      <xdr:colOff>414337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D87CC-8CB8-421E-B7FE-1B8634B552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1247775</xdr:colOff>
      <xdr:row>2</xdr:row>
      <xdr:rowOff>114300</xdr:rowOff>
    </xdr:from>
    <xdr:to>
      <xdr:col>12</xdr:col>
      <xdr:colOff>271463</xdr:colOff>
      <xdr:row>22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66EEB-014C-403A-9E20-B10703D69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237905</xdr:colOff>
      <xdr:row>4</xdr:row>
      <xdr:rowOff>149418</xdr:rowOff>
    </xdr:from>
    <xdr:to>
      <xdr:col>7</xdr:col>
      <xdr:colOff>529654</xdr:colOff>
      <xdr:row>18</xdr:row>
      <xdr:rowOff>1395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32504A-2FE0-4D70-B2C9-4ECB2DCC6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82015428241" createdVersion="7" refreshedVersion="7" minRefreshableVersion="3" recordCount="2" xr:uid="{DD4EFF59-2321-49A0-9B35-E5D9FA7A2A7B}">
  <cacheSource type="worksheet">
    <worksheetSource ref="R1:U3" sheet="Sheet1"/>
  </cacheSource>
  <cacheFields count="4">
    <cacheField name="Averaged" numFmtId="0">
      <sharedItems containsNonDate="0" containsString="0" containsBlank="1"/>
    </cacheField>
    <cacheField name="Date_Group" numFmtId="0">
      <sharedItems count="2">
        <s v="Week_10"/>
        <s v="Week_5"/>
      </sharedItems>
    </cacheField>
    <cacheField name="Inoculated" numFmtId="0">
      <sharedItems containsSemiMixedTypes="0" containsString="0" containsNumber="1" minValue="-0.45371111111111162" maxValue="-3.5077777777777243E-2" count="2">
        <n v="-0.45371111111111162"/>
        <n v="-3.5077777777777243E-2"/>
      </sharedItems>
    </cacheField>
    <cacheField name="Bare" numFmtId="0">
      <sharedItems containsSemiMixedTypes="0" containsString="0" containsNumber="1" minValue="-1.0042527777777779" maxValue="0.32570833333333288" count="2">
        <n v="-1.0042527777777779"/>
        <n v="0.3257083333333328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820884953704" createdVersion="7" refreshedVersion="7" minRefreshableVersion="3" recordCount="4" xr:uid="{8B8A58C9-6E94-4ED2-A99D-AD0527EC1FED}">
  <cacheSource type="worksheet">
    <worksheetSource ref="I1:L5" sheet="Sheet1"/>
  </cacheSource>
  <cacheFields count="4">
    <cacheField name="Rep" numFmtId="0">
      <sharedItems containsSemiMixedTypes="0" containsString="0" containsNumber="1" containsInteger="1" minValue="1" maxValue="1"/>
    </cacheField>
    <cacheField name="Date_Group" numFmtId="0">
      <sharedItems count="2">
        <s v="Week_10"/>
        <s v="Week_5"/>
      </sharedItems>
    </cacheField>
    <cacheField name="mound - trough" numFmtId="0">
      <sharedItems containsSemiMixedTypes="0" containsString="0" containsNumber="1" minValue="-2.1874250000000002" maxValue="1.6153249999999995"/>
    </cacheField>
    <cacheField name="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leen Maldonado" refreshedDate="46128.822058680555" createdVersion="7" refreshedVersion="7" minRefreshableVersion="3" recordCount="12" xr:uid="{9A24A77F-C826-4024-B887-A40764E5F88F}">
  <cacheSource type="worksheet">
    <worksheetSource ref="N1:P13" sheet="Sheet1"/>
  </cacheSource>
  <cacheFields count="3">
    <cacheField name="Date_Group" numFmtId="0">
      <sharedItems count="2">
        <s v="Week_10"/>
        <s v="Week_5"/>
      </sharedItems>
    </cacheField>
    <cacheField name="mound - trough" numFmtId="0">
      <sharedItems containsSemiMixedTypes="0" containsString="0" containsNumber="1" minValue="-2.365875" maxValue="1.6153249999999995"/>
    </cacheField>
    <cacheField name="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U" refreshedDate="46135.574473379631" createdVersion="8" refreshedVersion="8" minRefreshableVersion="3" recordCount="4" xr:uid="{E5DC89A6-688B-4301-B47B-FFB459D3B6F4}">
  <cacheSource type="worksheet">
    <worksheetSource ref="S6:U10" sheet="Sheet1"/>
  </cacheSource>
  <cacheFields count="3">
    <cacheField name="Date_Group" numFmtId="0">
      <sharedItems count="2">
        <s v="Week_5"/>
        <s v="Week_10"/>
      </sharedItems>
    </cacheField>
    <cacheField name="mound - trough" numFmtId="0">
      <sharedItems containsSemiMixedTypes="0" containsString="0" containsNumber="1" minValue="-1.0042527777777779" maxValue="0.32570833333333288"/>
    </cacheField>
    <cacheField name="Inoculated" numFmtId="0">
      <sharedItems count="2">
        <s v="Inoculated"/>
        <s v="Ba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m/>
    <x v="0"/>
    <x v="0"/>
    <x v="0"/>
  </r>
  <r>
    <m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1"/>
    <x v="0"/>
    <n v="-0.91435833333333427"/>
    <x v="0"/>
  </r>
  <r>
    <n v="1"/>
    <x v="1"/>
    <n v="1.2024166666666671"/>
    <x v="0"/>
  </r>
  <r>
    <n v="1"/>
    <x v="0"/>
    <n v="-2.1874250000000002"/>
    <x v="1"/>
  </r>
  <r>
    <n v="1"/>
    <x v="1"/>
    <n v="1.6153249999999995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-0.91435833333333427"/>
    <x v="0"/>
  </r>
  <r>
    <x v="1"/>
    <n v="1.2024166666666671"/>
    <x v="0"/>
  </r>
  <r>
    <x v="0"/>
    <n v="-2.1874250000000002"/>
    <x v="1"/>
  </r>
  <r>
    <x v="1"/>
    <n v="1.6153249999999995"/>
    <x v="1"/>
  </r>
  <r>
    <x v="0"/>
    <n v="0.66744999999999965"/>
    <x v="0"/>
  </r>
  <r>
    <x v="1"/>
    <n v="1.0582250000000011"/>
    <x v="0"/>
  </r>
  <r>
    <x v="0"/>
    <n v="-1.511308333333333"/>
    <x v="1"/>
  </r>
  <r>
    <x v="1"/>
    <n v="-0.49715000000000042"/>
    <x v="1"/>
  </r>
  <r>
    <x v="0"/>
    <n v="-1.1142250000000002"/>
    <x v="0"/>
  </r>
  <r>
    <x v="1"/>
    <n v="-2.365875"/>
    <x v="0"/>
  </r>
  <r>
    <x v="0"/>
    <n v="0.68597499999999956"/>
    <x v="1"/>
  </r>
  <r>
    <x v="1"/>
    <n v="-0.14105000000000034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-3.5077777777777243E-2"/>
    <x v="0"/>
  </r>
  <r>
    <x v="1"/>
    <n v="-0.45371111111111162"/>
    <x v="0"/>
  </r>
  <r>
    <x v="0"/>
    <n v="0.32570833333333288"/>
    <x v="1"/>
  </r>
  <r>
    <x v="1"/>
    <n v="-1.004252777777777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B254D-83F1-40D6-B2DF-52CCAADE1FC6}" name="PivotTable47" cacheId="6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C6" firstHeaderRow="1" firstDataRow="2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2">
    <i>
      <x/>
    </i>
    <i>
      <x v="1"/>
    </i>
  </rowItems>
  <colFields count="1">
    <field x="3"/>
  </colFields>
  <colItems count="2">
    <i>
      <x/>
    </i>
    <i>
      <x v="1"/>
    </i>
  </colItems>
  <dataFields count="1">
    <dataField name="Sum of mound - trough" fld="2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79E1A-1DF5-4598-8FD1-A86303B9135B}" name="PivotTable191" cacheId="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 chartFormat="1">
  <location ref="A3:C6" firstHeaderRow="1" firstDataRow="2" firstDataCol="1"/>
  <pivotFields count="3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Sum of mound - trough" fld="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DB789-49FC-4FD7-8B45-49F66AF36114}" name="PivotTable18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/>
  <pivotFields count="4">
    <pivotField showAll="0"/>
    <pivotField axis="axisRow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noculated" fld="2" baseField="0" baseItem="0"/>
    <dataField name="Sum of Bar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6E4E4-5ABF-4792-8F37-07114A36C71B}" name="PivotTable208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7" indent="0" compact="0" compactData="0" multipleFieldFilters="0" chartFormat="8">
  <location ref="A3:C6" firstHeaderRow="1" firstDataRow="2" firstDataCol="1"/>
  <pivotFields count="3"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defaultSubtotal="0">
      <items count="2">
        <item n="Uncolonized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Average across Reps." fld="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4B36C-2E20-4178-9270-8B9376B835EB}">
  <dimension ref="A2:C6"/>
  <sheetViews>
    <sheetView workbookViewId="0">
      <selection activeCell="B6" sqref="B6"/>
    </sheetView>
  </sheetViews>
  <sheetFormatPr defaultRowHeight="14.5" x14ac:dyDescent="0.35"/>
  <cols>
    <col min="1" max="1" width="21.7265625" bestFit="1" customWidth="1"/>
    <col min="2" max="3" width="12.7265625" bestFit="1" customWidth="1"/>
    <col min="4" max="4" width="7.26953125" bestFit="1" customWidth="1"/>
  </cols>
  <sheetData>
    <row r="2" spans="1:3" x14ac:dyDescent="0.35">
      <c r="B2" t="s">
        <v>26</v>
      </c>
    </row>
    <row r="3" spans="1:3" x14ac:dyDescent="0.35">
      <c r="A3" s="4" t="s">
        <v>20</v>
      </c>
      <c r="B3" s="4" t="s">
        <v>8</v>
      </c>
    </row>
    <row r="4" spans="1:3" x14ac:dyDescent="0.35">
      <c r="A4" s="4" t="s">
        <v>3</v>
      </c>
      <c r="B4" t="s">
        <v>18</v>
      </c>
      <c r="C4" t="s">
        <v>8</v>
      </c>
    </row>
    <row r="5" spans="1:3" x14ac:dyDescent="0.35">
      <c r="A5" t="s">
        <v>10</v>
      </c>
      <c r="B5">
        <v>-2.1874250000000002</v>
      </c>
      <c r="C5">
        <v>-0.91435833333333427</v>
      </c>
    </row>
    <row r="6" spans="1:3" x14ac:dyDescent="0.35">
      <c r="A6" t="s">
        <v>11</v>
      </c>
      <c r="B6">
        <v>1.6153249999999995</v>
      </c>
      <c r="C6">
        <v>1.2024166666666671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59A5-8152-4116-95F5-1E237F0858DE}">
  <dimension ref="A2:C6"/>
  <sheetViews>
    <sheetView workbookViewId="0">
      <selection activeCell="A2" sqref="A2"/>
    </sheetView>
  </sheetViews>
  <sheetFormatPr defaultRowHeight="14.5" x14ac:dyDescent="0.35"/>
  <cols>
    <col min="1" max="1" width="21.7265625" bestFit="1" customWidth="1"/>
    <col min="2" max="3" width="12.7265625" bestFit="1" customWidth="1"/>
  </cols>
  <sheetData>
    <row r="2" spans="1:3" x14ac:dyDescent="0.35">
      <c r="A2" t="s">
        <v>29</v>
      </c>
    </row>
    <row r="3" spans="1:3" x14ac:dyDescent="0.35">
      <c r="A3" s="4" t="s">
        <v>20</v>
      </c>
      <c r="B3" s="4" t="s">
        <v>8</v>
      </c>
    </row>
    <row r="4" spans="1:3" x14ac:dyDescent="0.35">
      <c r="A4" s="4" t="s">
        <v>3</v>
      </c>
      <c r="B4" t="s">
        <v>18</v>
      </c>
      <c r="C4" t="s">
        <v>8</v>
      </c>
    </row>
    <row r="5" spans="1:3" x14ac:dyDescent="0.35">
      <c r="A5" t="s">
        <v>10</v>
      </c>
      <c r="B5">
        <v>-3.0127583333333336</v>
      </c>
      <c r="C5">
        <v>-1.3611333333333349</v>
      </c>
    </row>
    <row r="6" spans="1:3" x14ac:dyDescent="0.35">
      <c r="A6" t="s">
        <v>11</v>
      </c>
      <c r="B6">
        <v>0.97712499999999869</v>
      </c>
      <c r="C6">
        <v>-0.10523333333333174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EDD61-C5B0-458C-8891-B6540CB9E028}">
  <dimension ref="A2:D16"/>
  <sheetViews>
    <sheetView workbookViewId="0">
      <selection activeCell="B5" sqref="B5"/>
    </sheetView>
  </sheetViews>
  <sheetFormatPr defaultRowHeight="14.5" x14ac:dyDescent="0.35"/>
  <cols>
    <col min="1" max="1" width="13.1796875" bestFit="1" customWidth="1"/>
    <col min="2" max="2" width="17.26953125" bestFit="1" customWidth="1"/>
    <col min="3" max="4" width="12.7265625" bestFit="1" customWidth="1"/>
    <col min="5" max="5" width="22.81640625" bestFit="1" customWidth="1"/>
    <col min="6" max="6" width="11.26953125" bestFit="1" customWidth="1"/>
  </cols>
  <sheetData>
    <row r="2" spans="1:4" x14ac:dyDescent="0.35">
      <c r="A2" t="s">
        <v>28</v>
      </c>
    </row>
    <row r="3" spans="1:4" x14ac:dyDescent="0.35">
      <c r="A3" s="4" t="s">
        <v>22</v>
      </c>
      <c r="B3" t="s">
        <v>25</v>
      </c>
      <c r="C3" t="s">
        <v>24</v>
      </c>
    </row>
    <row r="4" spans="1:4" x14ac:dyDescent="0.35">
      <c r="A4" s="5" t="s">
        <v>10</v>
      </c>
      <c r="B4">
        <v>-0.45371111111111162</v>
      </c>
      <c r="C4">
        <v>-1.0042527777777779</v>
      </c>
    </row>
    <row r="5" spans="1:4" x14ac:dyDescent="0.35">
      <c r="A5" s="5" t="s">
        <v>11</v>
      </c>
      <c r="B5">
        <v>-3.5077777777777243E-2</v>
      </c>
      <c r="C5">
        <v>0.32570833333333288</v>
      </c>
    </row>
    <row r="6" spans="1:4" x14ac:dyDescent="0.35">
      <c r="A6" s="5" t="s">
        <v>23</v>
      </c>
      <c r="B6">
        <v>-0.48878888888888888</v>
      </c>
      <c r="C6">
        <v>-0.67854444444444506</v>
      </c>
    </row>
    <row r="13" spans="1:4" x14ac:dyDescent="0.35">
      <c r="A13" t="s">
        <v>27</v>
      </c>
    </row>
    <row r="14" spans="1:4" x14ac:dyDescent="0.35">
      <c r="A14" t="s">
        <v>21</v>
      </c>
      <c r="B14" t="s">
        <v>3</v>
      </c>
      <c r="C14" t="s">
        <v>8</v>
      </c>
      <c r="D14" t="s">
        <v>18</v>
      </c>
    </row>
    <row r="15" spans="1:4" x14ac:dyDescent="0.35">
      <c r="B15" t="s">
        <v>10</v>
      </c>
      <c r="C15">
        <v>-0.45371111111111162</v>
      </c>
      <c r="D15">
        <v>-1.0042527777777779</v>
      </c>
    </row>
    <row r="16" spans="1:4" x14ac:dyDescent="0.35">
      <c r="B16" t="s">
        <v>11</v>
      </c>
      <c r="C16">
        <v>-3.5077777777777243E-2</v>
      </c>
      <c r="D16">
        <v>0.32570833333333288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A2F4-D6F5-4902-AE23-5289119D4CA5}">
  <dimension ref="A3:C6"/>
  <sheetViews>
    <sheetView topLeftCell="A3" zoomScale="130" zoomScaleNormal="130" workbookViewId="0">
      <selection activeCell="B6" sqref="B6"/>
    </sheetView>
  </sheetViews>
  <sheetFormatPr defaultRowHeight="14.5" x14ac:dyDescent="0.35"/>
  <cols>
    <col min="1" max="1" width="18.81640625" bestFit="1" customWidth="1"/>
    <col min="2" max="3" width="13.08984375" bestFit="1" customWidth="1"/>
  </cols>
  <sheetData>
    <row r="3" spans="1:3" x14ac:dyDescent="0.35">
      <c r="A3" s="4" t="s">
        <v>30</v>
      </c>
      <c r="B3" s="4" t="s">
        <v>8</v>
      </c>
    </row>
    <row r="4" spans="1:3" x14ac:dyDescent="0.35">
      <c r="A4" s="4" t="s">
        <v>3</v>
      </c>
      <c r="B4" t="s">
        <v>13</v>
      </c>
      <c r="C4" t="s">
        <v>8</v>
      </c>
    </row>
    <row r="5" spans="1:3" x14ac:dyDescent="0.35">
      <c r="A5" t="s">
        <v>11</v>
      </c>
      <c r="B5" s="7">
        <v>0.32570833333333288</v>
      </c>
      <c r="C5" s="7">
        <v>-3.5077777777777243E-2</v>
      </c>
    </row>
    <row r="6" spans="1:3" x14ac:dyDescent="0.35">
      <c r="A6" t="s">
        <v>10</v>
      </c>
      <c r="B6" s="7">
        <v>-1.0042527777777779</v>
      </c>
      <c r="C6" s="7">
        <v>-0.45371111111111162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topLeftCell="H1" workbookViewId="0">
      <selection activeCell="U6" sqref="U6"/>
    </sheetView>
  </sheetViews>
  <sheetFormatPr defaultRowHeight="14.5" x14ac:dyDescent="0.35"/>
  <cols>
    <col min="3" max="3" width="7.54296875" bestFit="1" customWidth="1"/>
    <col min="9" max="9" width="4.453125" bestFit="1" customWidth="1"/>
    <col min="10" max="10" width="11.7265625" bestFit="1" customWidth="1"/>
    <col min="11" max="11" width="14.81640625" bestFit="1" customWidth="1"/>
    <col min="15" max="15" width="14.81640625" bestFit="1" customWidth="1"/>
    <col min="19" max="19" width="11.7265625" bestFit="1" customWidth="1"/>
    <col min="20" max="20" width="14.81640625" bestFit="1" customWidth="1"/>
    <col min="21" max="21" width="12.7265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16</v>
      </c>
      <c r="J1" s="1" t="s">
        <v>3</v>
      </c>
      <c r="K1" s="1" t="s">
        <v>17</v>
      </c>
      <c r="L1" s="1" t="s">
        <v>8</v>
      </c>
      <c r="N1" s="1" t="s">
        <v>3</v>
      </c>
      <c r="O1" s="1" t="s">
        <v>17</v>
      </c>
      <c r="P1" s="1" t="s">
        <v>8</v>
      </c>
      <c r="R1" s="1" t="s">
        <v>21</v>
      </c>
      <c r="S1" s="1" t="str">
        <f>J1</f>
        <v>Date_Group</v>
      </c>
      <c r="T1" s="1" t="str">
        <f>L2</f>
        <v>Inoculated</v>
      </c>
      <c r="U1" s="1" t="str">
        <f>L4</f>
        <v>Bare</v>
      </c>
    </row>
    <row r="2" spans="1:23" x14ac:dyDescent="0.35">
      <c r="A2" t="s">
        <v>7</v>
      </c>
      <c r="B2" t="s">
        <v>8</v>
      </c>
      <c r="C2" t="s">
        <v>9</v>
      </c>
      <c r="D2" t="s">
        <v>10</v>
      </c>
      <c r="E2">
        <v>4.2976166666666664</v>
      </c>
      <c r="F2">
        <v>0.27065690561217037</v>
      </c>
      <c r="G2">
        <v>2</v>
      </c>
      <c r="I2">
        <v>1</v>
      </c>
      <c r="J2" s="2" t="s">
        <v>10</v>
      </c>
      <c r="K2" s="2">
        <f>E2-E4</f>
        <v>-0.91435833333333427</v>
      </c>
      <c r="L2" s="2" t="s">
        <v>8</v>
      </c>
      <c r="N2" t="s">
        <v>10</v>
      </c>
      <c r="O2">
        <v>-0.91435833333333427</v>
      </c>
      <c r="P2" t="s">
        <v>8</v>
      </c>
      <c r="S2" t="str">
        <f>J2</f>
        <v>Week_10</v>
      </c>
      <c r="T2">
        <f>AVERAGE(K2,K8,K14)</f>
        <v>-0.45371111111111162</v>
      </c>
      <c r="U2">
        <f>AVERAGE(K4,K10,K16)</f>
        <v>-1.0042527777777779</v>
      </c>
    </row>
    <row r="3" spans="1:23" x14ac:dyDescent="0.35">
      <c r="A3" t="s">
        <v>7</v>
      </c>
      <c r="B3" t="s">
        <v>8</v>
      </c>
      <c r="C3" t="s">
        <v>9</v>
      </c>
      <c r="D3" t="s">
        <v>11</v>
      </c>
      <c r="E3">
        <v>3.9895499999999999</v>
      </c>
      <c r="F3">
        <v>0.98167634432128403</v>
      </c>
      <c r="G3">
        <v>2</v>
      </c>
      <c r="I3">
        <v>1</v>
      </c>
      <c r="J3" s="2" t="s">
        <v>11</v>
      </c>
      <c r="K3" s="2">
        <f>E3-E5</f>
        <v>1.2024166666666671</v>
      </c>
      <c r="L3" s="2" t="s">
        <v>8</v>
      </c>
      <c r="N3" t="s">
        <v>11</v>
      </c>
      <c r="O3">
        <v>1.2024166666666671</v>
      </c>
      <c r="P3" t="s">
        <v>8</v>
      </c>
      <c r="S3" t="str">
        <f>J3</f>
        <v>Week_5</v>
      </c>
      <c r="T3">
        <f>AVERAGE(K3,K9,K15)</f>
        <v>-3.5077777777777243E-2</v>
      </c>
      <c r="U3">
        <f>AVERAGE(K5,K11,K17)</f>
        <v>0.32570833333333288</v>
      </c>
    </row>
    <row r="4" spans="1:23" x14ac:dyDescent="0.35">
      <c r="A4" t="s">
        <v>7</v>
      </c>
      <c r="B4" t="s">
        <v>8</v>
      </c>
      <c r="C4" t="s">
        <v>12</v>
      </c>
      <c r="D4" t="s">
        <v>10</v>
      </c>
      <c r="E4">
        <v>5.2119750000000007</v>
      </c>
      <c r="F4">
        <v>3.7475598742715239</v>
      </c>
      <c r="G4">
        <v>2</v>
      </c>
      <c r="I4">
        <v>1</v>
      </c>
      <c r="J4" s="2" t="s">
        <v>10</v>
      </c>
      <c r="K4" s="2">
        <f>E6-E8</f>
        <v>-2.1874250000000002</v>
      </c>
      <c r="L4" s="2" t="s">
        <v>18</v>
      </c>
      <c r="N4" t="s">
        <v>10</v>
      </c>
      <c r="O4">
        <v>-2.1874250000000002</v>
      </c>
      <c r="P4" t="s">
        <v>18</v>
      </c>
    </row>
    <row r="5" spans="1:23" x14ac:dyDescent="0.35">
      <c r="A5" t="s">
        <v>7</v>
      </c>
      <c r="B5" t="s">
        <v>8</v>
      </c>
      <c r="C5" t="s">
        <v>12</v>
      </c>
      <c r="D5" t="s">
        <v>11</v>
      </c>
      <c r="E5">
        <v>2.7871333333333328</v>
      </c>
      <c r="F5">
        <v>0.9088679160851092</v>
      </c>
      <c r="G5">
        <v>2</v>
      </c>
      <c r="I5">
        <v>1</v>
      </c>
      <c r="J5" s="2" t="s">
        <v>11</v>
      </c>
      <c r="K5" s="2">
        <f>E7-E9</f>
        <v>1.6153249999999995</v>
      </c>
      <c r="L5" s="2" t="s">
        <v>18</v>
      </c>
      <c r="N5" t="s">
        <v>11</v>
      </c>
      <c r="O5">
        <v>1.6153249999999995</v>
      </c>
      <c r="P5" t="s">
        <v>18</v>
      </c>
      <c r="R5" s="6" t="s">
        <v>21</v>
      </c>
    </row>
    <row r="6" spans="1:23" x14ac:dyDescent="0.35">
      <c r="A6" t="s">
        <v>7</v>
      </c>
      <c r="B6" t="s">
        <v>13</v>
      </c>
      <c r="C6" t="s">
        <v>9</v>
      </c>
      <c r="D6" t="s">
        <v>10</v>
      </c>
      <c r="E6">
        <v>5.6730499999999999</v>
      </c>
      <c r="F6">
        <v>3.6142348906788002</v>
      </c>
      <c r="G6">
        <v>2</v>
      </c>
      <c r="N6" t="s">
        <v>10</v>
      </c>
      <c r="O6">
        <v>0.66744999999999965</v>
      </c>
      <c r="P6" t="s">
        <v>8</v>
      </c>
      <c r="S6" s="1" t="str">
        <f>J1</f>
        <v>Date_Group</v>
      </c>
      <c r="T6" s="1" t="str">
        <f>K1</f>
        <v>mound - trough</v>
      </c>
      <c r="U6" s="1" t="str">
        <f>L9</f>
        <v>Inoculated</v>
      </c>
    </row>
    <row r="7" spans="1:23" x14ac:dyDescent="0.35">
      <c r="A7" t="s">
        <v>7</v>
      </c>
      <c r="B7" t="s">
        <v>13</v>
      </c>
      <c r="C7" t="s">
        <v>9</v>
      </c>
      <c r="D7" t="s">
        <v>11</v>
      </c>
      <c r="E7">
        <v>5.5555249999999994</v>
      </c>
      <c r="F7">
        <v>2.5224266651877119</v>
      </c>
      <c r="G7">
        <v>2</v>
      </c>
      <c r="N7" t="s">
        <v>11</v>
      </c>
      <c r="O7">
        <v>1.0582250000000011</v>
      </c>
      <c r="P7" t="s">
        <v>8</v>
      </c>
      <c r="S7" t="str">
        <f>J5</f>
        <v>Week_5</v>
      </c>
      <c r="T7">
        <f>T3</f>
        <v>-3.5077777777777243E-2</v>
      </c>
      <c r="U7" t="s">
        <v>8</v>
      </c>
      <c r="W7">
        <f>_xlfn.T.TEST(T7:T8,T9:T10,2,2)</f>
        <v>0.90420915091432064</v>
      </c>
    </row>
    <row r="8" spans="1:23" x14ac:dyDescent="0.35">
      <c r="A8" t="s">
        <v>7</v>
      </c>
      <c r="B8" t="s">
        <v>13</v>
      </c>
      <c r="C8" t="s">
        <v>12</v>
      </c>
      <c r="D8" t="s">
        <v>10</v>
      </c>
      <c r="E8">
        <v>7.8604750000000001</v>
      </c>
      <c r="F8">
        <v>4.0654043724148776</v>
      </c>
      <c r="G8">
        <v>2</v>
      </c>
      <c r="I8">
        <v>2</v>
      </c>
      <c r="J8" s="3" t="s">
        <v>10</v>
      </c>
      <c r="K8" s="3">
        <f>E10-E12</f>
        <v>0.66744999999999965</v>
      </c>
      <c r="L8" s="3" t="s">
        <v>8</v>
      </c>
      <c r="N8" t="s">
        <v>10</v>
      </c>
      <c r="O8">
        <v>-1.511308333333333</v>
      </c>
      <c r="P8" t="s">
        <v>19</v>
      </c>
      <c r="S8" t="str">
        <f>J2</f>
        <v>Week_10</v>
      </c>
      <c r="T8">
        <f>T2</f>
        <v>-0.45371111111111162</v>
      </c>
      <c r="U8" t="s">
        <v>8</v>
      </c>
    </row>
    <row r="9" spans="1:23" x14ac:dyDescent="0.35">
      <c r="A9" t="s">
        <v>7</v>
      </c>
      <c r="B9" t="s">
        <v>13</v>
      </c>
      <c r="C9" t="s">
        <v>12</v>
      </c>
      <c r="D9" t="s">
        <v>11</v>
      </c>
      <c r="E9">
        <v>3.9401999999999999</v>
      </c>
      <c r="F9">
        <v>2.2283763102312859</v>
      </c>
      <c r="G9">
        <v>2</v>
      </c>
      <c r="I9">
        <v>2</v>
      </c>
      <c r="J9" s="3" t="s">
        <v>11</v>
      </c>
      <c r="K9" s="3">
        <f>E11-E13</f>
        <v>1.0582250000000011</v>
      </c>
      <c r="L9" s="3" t="s">
        <v>8</v>
      </c>
      <c r="N9" t="s">
        <v>11</v>
      </c>
      <c r="O9">
        <v>-0.49715000000000042</v>
      </c>
      <c r="P9" t="s">
        <v>19</v>
      </c>
      <c r="S9" t="str">
        <f>J3</f>
        <v>Week_5</v>
      </c>
      <c r="T9">
        <f>U3</f>
        <v>0.32570833333333288</v>
      </c>
      <c r="U9" t="s">
        <v>18</v>
      </c>
    </row>
    <row r="10" spans="1:23" x14ac:dyDescent="0.35">
      <c r="A10" t="s">
        <v>14</v>
      </c>
      <c r="B10" t="s">
        <v>8</v>
      </c>
      <c r="C10" t="s">
        <v>9</v>
      </c>
      <c r="D10" t="s">
        <v>10</v>
      </c>
      <c r="E10">
        <v>5.4398</v>
      </c>
      <c r="F10">
        <v>1.1251483102240349</v>
      </c>
      <c r="G10">
        <v>2</v>
      </c>
      <c r="I10">
        <v>2</v>
      </c>
      <c r="J10" s="3" t="s">
        <v>10</v>
      </c>
      <c r="K10" s="3">
        <f>E14-E16</f>
        <v>-1.511308333333333</v>
      </c>
      <c r="L10" s="3" t="s">
        <v>19</v>
      </c>
      <c r="N10" t="s">
        <v>10</v>
      </c>
      <c r="O10">
        <v>-1.1142250000000002</v>
      </c>
      <c r="P10" t="s">
        <v>8</v>
      </c>
      <c r="S10" t="str">
        <f>J4</f>
        <v>Week_10</v>
      </c>
      <c r="T10">
        <f>U2</f>
        <v>-1.0042527777777779</v>
      </c>
      <c r="U10" t="s">
        <v>18</v>
      </c>
    </row>
    <row r="11" spans="1:23" x14ac:dyDescent="0.35">
      <c r="A11" t="s">
        <v>14</v>
      </c>
      <c r="B11" t="s">
        <v>8</v>
      </c>
      <c r="C11" t="s">
        <v>9</v>
      </c>
      <c r="D11" t="s">
        <v>11</v>
      </c>
      <c r="E11">
        <v>6.1293249999999997</v>
      </c>
      <c r="F11">
        <v>1.3043645239157651</v>
      </c>
      <c r="G11">
        <v>2</v>
      </c>
      <c r="I11">
        <v>2</v>
      </c>
      <c r="J11" s="3" t="s">
        <v>11</v>
      </c>
      <c r="K11" s="3">
        <f>E15-E17</f>
        <v>-0.49715000000000042</v>
      </c>
      <c r="L11" s="3" t="s">
        <v>19</v>
      </c>
      <c r="N11" t="s">
        <v>11</v>
      </c>
      <c r="O11">
        <v>-2.365875</v>
      </c>
      <c r="P11" t="s">
        <v>8</v>
      </c>
    </row>
    <row r="12" spans="1:23" x14ac:dyDescent="0.35">
      <c r="A12" t="s">
        <v>14</v>
      </c>
      <c r="B12" t="s">
        <v>8</v>
      </c>
      <c r="C12" t="s">
        <v>12</v>
      </c>
      <c r="D12" t="s">
        <v>10</v>
      </c>
      <c r="E12">
        <v>4.7723500000000003</v>
      </c>
      <c r="F12">
        <v>0.464357023205205</v>
      </c>
      <c r="G12">
        <v>2</v>
      </c>
      <c r="N12" t="s">
        <v>10</v>
      </c>
      <c r="O12">
        <v>0.68597499999999956</v>
      </c>
      <c r="P12" t="s">
        <v>18</v>
      </c>
    </row>
    <row r="13" spans="1:23" x14ac:dyDescent="0.35">
      <c r="A13" t="s">
        <v>14</v>
      </c>
      <c r="B13" t="s">
        <v>8</v>
      </c>
      <c r="C13" t="s">
        <v>12</v>
      </c>
      <c r="D13" t="s">
        <v>11</v>
      </c>
      <c r="E13">
        <v>5.0710999999999986</v>
      </c>
      <c r="F13">
        <v>1.9054406432633899</v>
      </c>
      <c r="G13">
        <v>2</v>
      </c>
      <c r="N13" t="s">
        <v>11</v>
      </c>
      <c r="O13">
        <v>-0.14105000000000034</v>
      </c>
      <c r="P13" t="s">
        <v>18</v>
      </c>
    </row>
    <row r="14" spans="1:23" x14ac:dyDescent="0.35">
      <c r="A14" t="s">
        <v>14</v>
      </c>
      <c r="B14" t="s">
        <v>13</v>
      </c>
      <c r="C14" t="s">
        <v>9</v>
      </c>
      <c r="D14" t="s">
        <v>10</v>
      </c>
      <c r="E14">
        <v>6.2978916666666667</v>
      </c>
      <c r="F14">
        <v>0.71140834743876524</v>
      </c>
      <c r="G14">
        <v>2</v>
      </c>
      <c r="I14">
        <v>3</v>
      </c>
      <c r="J14" s="2" t="s">
        <v>10</v>
      </c>
      <c r="K14" s="2">
        <f>E18-E20</f>
        <v>-1.1142250000000002</v>
      </c>
      <c r="L14" s="2" t="s">
        <v>8</v>
      </c>
    </row>
    <row r="15" spans="1:23" x14ac:dyDescent="0.35">
      <c r="A15" t="s">
        <v>14</v>
      </c>
      <c r="B15" t="s">
        <v>13</v>
      </c>
      <c r="C15" t="s">
        <v>9</v>
      </c>
      <c r="D15" t="s">
        <v>11</v>
      </c>
      <c r="E15">
        <v>4.9803499999999996</v>
      </c>
      <c r="F15">
        <v>3.2102647865869173E-2</v>
      </c>
      <c r="G15">
        <v>2</v>
      </c>
      <c r="I15">
        <v>3</v>
      </c>
      <c r="J15" s="2" t="s">
        <v>11</v>
      </c>
      <c r="K15" s="2">
        <f>E19-E21</f>
        <v>-2.365875</v>
      </c>
      <c r="L15" s="2" t="s">
        <v>8</v>
      </c>
    </row>
    <row r="16" spans="1:23" x14ac:dyDescent="0.35">
      <c r="A16" t="s">
        <v>14</v>
      </c>
      <c r="B16" t="s">
        <v>13</v>
      </c>
      <c r="C16" t="s">
        <v>12</v>
      </c>
      <c r="D16" t="s">
        <v>10</v>
      </c>
      <c r="E16">
        <v>7.8091999999999997</v>
      </c>
      <c r="F16">
        <v>1.937401869773022</v>
      </c>
      <c r="G16">
        <v>2</v>
      </c>
      <c r="I16">
        <v>3</v>
      </c>
      <c r="J16" s="2" t="s">
        <v>10</v>
      </c>
      <c r="K16" s="2">
        <f>E22-E24</f>
        <v>0.68597499999999956</v>
      </c>
      <c r="L16" s="2" t="s">
        <v>18</v>
      </c>
    </row>
    <row r="17" spans="1:12" x14ac:dyDescent="0.35">
      <c r="A17" t="s">
        <v>14</v>
      </c>
      <c r="B17" t="s">
        <v>13</v>
      </c>
      <c r="C17" t="s">
        <v>12</v>
      </c>
      <c r="D17" t="s">
        <v>11</v>
      </c>
      <c r="E17">
        <v>5.4775</v>
      </c>
      <c r="F17">
        <v>1.1767671052506521</v>
      </c>
      <c r="G17">
        <v>2</v>
      </c>
      <c r="I17">
        <v>3</v>
      </c>
      <c r="J17" s="2" t="s">
        <v>11</v>
      </c>
      <c r="K17" s="2">
        <f>E23-E25</f>
        <v>-0.14105000000000034</v>
      </c>
      <c r="L17" s="2" t="s">
        <v>18</v>
      </c>
    </row>
    <row r="18" spans="1:12" x14ac:dyDescent="0.35">
      <c r="A18" t="s">
        <v>15</v>
      </c>
      <c r="B18" t="s">
        <v>8</v>
      </c>
      <c r="C18" t="s">
        <v>9</v>
      </c>
      <c r="D18" t="s">
        <v>10</v>
      </c>
      <c r="E18">
        <v>2.13855</v>
      </c>
      <c r="F18">
        <v>8.2236518651995369E-2</v>
      </c>
      <c r="G18">
        <v>2</v>
      </c>
    </row>
    <row r="19" spans="1:12" x14ac:dyDescent="0.35">
      <c r="A19" t="s">
        <v>15</v>
      </c>
      <c r="B19" t="s">
        <v>8</v>
      </c>
      <c r="C19" t="s">
        <v>9</v>
      </c>
      <c r="D19" t="s">
        <v>11</v>
      </c>
      <c r="E19">
        <v>0.7017000000000001</v>
      </c>
      <c r="F19">
        <v>0.85750839354492625</v>
      </c>
      <c r="G19">
        <v>2</v>
      </c>
    </row>
    <row r="20" spans="1:12" x14ac:dyDescent="0.35">
      <c r="A20" t="s">
        <v>15</v>
      </c>
      <c r="B20" t="s">
        <v>8</v>
      </c>
      <c r="C20" t="s">
        <v>12</v>
      </c>
      <c r="D20" t="s">
        <v>10</v>
      </c>
      <c r="E20">
        <v>3.2527750000000002</v>
      </c>
      <c r="F20">
        <v>0.95788220113435651</v>
      </c>
      <c r="G20">
        <v>2</v>
      </c>
    </row>
    <row r="21" spans="1:12" x14ac:dyDescent="0.35">
      <c r="A21" t="s">
        <v>15</v>
      </c>
      <c r="B21" t="s">
        <v>8</v>
      </c>
      <c r="C21" t="s">
        <v>12</v>
      </c>
      <c r="D21" t="s">
        <v>11</v>
      </c>
      <c r="E21">
        <v>3.0675750000000002</v>
      </c>
      <c r="F21">
        <v>0.29504030445008711</v>
      </c>
      <c r="G21">
        <v>2</v>
      </c>
    </row>
    <row r="22" spans="1:12" x14ac:dyDescent="0.35">
      <c r="A22" t="s">
        <v>15</v>
      </c>
      <c r="B22" t="s">
        <v>13</v>
      </c>
      <c r="C22" t="s">
        <v>9</v>
      </c>
      <c r="D22" t="s">
        <v>10</v>
      </c>
      <c r="E22">
        <v>4.2200749999999996</v>
      </c>
      <c r="F22">
        <v>1.147386818492351</v>
      </c>
      <c r="G22">
        <v>2</v>
      </c>
    </row>
    <row r="23" spans="1:12" x14ac:dyDescent="0.35">
      <c r="A23" t="s">
        <v>15</v>
      </c>
      <c r="B23" t="s">
        <v>13</v>
      </c>
      <c r="C23" t="s">
        <v>9</v>
      </c>
      <c r="D23" t="s">
        <v>11</v>
      </c>
      <c r="E23">
        <v>3.8482249999999998</v>
      </c>
      <c r="F23">
        <v>2.9340335225164011</v>
      </c>
      <c r="G23">
        <v>2</v>
      </c>
    </row>
    <row r="24" spans="1:12" x14ac:dyDescent="0.35">
      <c r="A24" t="s">
        <v>15</v>
      </c>
      <c r="B24" t="s">
        <v>13</v>
      </c>
      <c r="C24" t="s">
        <v>12</v>
      </c>
      <c r="D24" t="s">
        <v>10</v>
      </c>
      <c r="E24">
        <v>3.5341</v>
      </c>
      <c r="F24">
        <v>0.76841293911542086</v>
      </c>
      <c r="G24">
        <v>2</v>
      </c>
    </row>
    <row r="25" spans="1:12" x14ac:dyDescent="0.35">
      <c r="A25" t="s">
        <v>15</v>
      </c>
      <c r="B25" t="s">
        <v>13</v>
      </c>
      <c r="C25" t="s">
        <v>12</v>
      </c>
      <c r="D25" t="s">
        <v>11</v>
      </c>
      <c r="E25">
        <v>3.9892750000000001</v>
      </c>
      <c r="F25">
        <v>0.20643982476741249</v>
      </c>
      <c r="G25">
        <v>2</v>
      </c>
    </row>
  </sheetData>
  <conditionalFormatting sqref="L2:L5 L8:L11">
    <cfRule type="cellIs" dxfId="1" priority="2" operator="equal">
      <formula>"Mound"</formula>
    </cfRule>
  </conditionalFormatting>
  <conditionalFormatting sqref="L14:L17 L20:L23">
    <cfRule type="cellIs" dxfId="0" priority="1" operator="equal">
      <formula>"Mound"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rep1_og</vt:lpstr>
      <vt:lpstr>v1</vt:lpstr>
      <vt:lpstr>v2</vt:lpstr>
      <vt:lpstr>final_figure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Myleen Maldonado</cp:lastModifiedBy>
  <dcterms:created xsi:type="dcterms:W3CDTF">2026-04-16T23:41:47Z</dcterms:created>
  <dcterms:modified xsi:type="dcterms:W3CDTF">2026-04-23T21:06:30Z</dcterms:modified>
</cp:coreProperties>
</file>